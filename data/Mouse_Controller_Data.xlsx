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01_HD_AAV\Study_Controller\"/>
    </mc:Choice>
  </mc:AlternateContent>
  <xr:revisionPtr revIDLastSave="0" documentId="8_{994DB7E7-0E5A-435D-9EB5-4AA049028710}" xr6:coauthVersionLast="47" xr6:coauthVersionMax="47" xr10:uidLastSave="{00000000-0000-0000-0000-000000000000}"/>
  <bookViews>
    <workbookView xWindow="1110" yWindow="285" windowWidth="26910" windowHeight="15390" xr2:uid="{5A7E49E4-24EA-46BD-BFC7-8553F3004BA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2" i="1"/>
</calcChain>
</file>

<file path=xl/sharedStrings.xml><?xml version="1.0" encoding="utf-8"?>
<sst xmlns="http://schemas.openxmlformats.org/spreadsheetml/2006/main" count="11" uniqueCount="11">
  <si>
    <t>Mouse</t>
  </si>
  <si>
    <t>Treatment #</t>
  </si>
  <si>
    <t>Brain Region</t>
  </si>
  <si>
    <t>N Bursts</t>
  </si>
  <si>
    <t>Harmonic Goal</t>
  </si>
  <si>
    <t>Mean Voltage</t>
  </si>
  <si>
    <t>Cumulative Voltage</t>
  </si>
  <si>
    <t>Mean 2nd Harmonic</t>
  </si>
  <si>
    <t>Cumulative 2nd Harmonic</t>
  </si>
  <si>
    <t>Mean MPa</t>
  </si>
  <si>
    <t>Mean 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</si>
</sst>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608A-B915-4806-B060-96E8E7ABCD70}">
  <dimension ref="A1:L146"/>
  <sheetViews>
    <sheetView tabSelected="1" workbookViewId="0">
      <selection activeCell="G14" sqref="G14"/>
    </sheetView>
  </sheetViews>
  <sheetFormatPr defaultRowHeight="15" x14ac:dyDescent="0.25"/>
  <cols>
    <col min="1" max="3" width="19.140625" style="1" customWidth="1"/>
    <col min="4" max="4" width="17.42578125" style="1" customWidth="1"/>
    <col min="5" max="5" width="20.5703125" style="1" customWidth="1"/>
    <col min="6" max="6" width="21.42578125" style="1" customWidth="1"/>
    <col min="7" max="9" width="23.85546875" style="1" customWidth="1"/>
    <col min="11" max="11" width="10.7109375" customWidth="1"/>
    <col min="12" max="12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  <c r="L1" s="1" t="s">
        <v>10</v>
      </c>
    </row>
    <row r="2" spans="1:12" x14ac:dyDescent="0.25">
      <c r="A2" s="1">
        <v>1</v>
      </c>
      <c r="B2" s="1">
        <v>1</v>
      </c>
      <c r="C2" s="1">
        <v>1</v>
      </c>
      <c r="D2" s="1">
        <v>135</v>
      </c>
      <c r="E2" s="1">
        <v>0.75</v>
      </c>
      <c r="F2" s="1">
        <v>7.5800000000000006E-2</v>
      </c>
      <c r="G2" s="1">
        <v>9.8559999999999999</v>
      </c>
      <c r="H2" s="1">
        <v>0.3397</v>
      </c>
      <c r="I2" s="1">
        <v>0.94620000000000004</v>
      </c>
      <c r="K2" s="2">
        <f>F2*4.05</f>
        <v>0.30698999999999999</v>
      </c>
      <c r="L2" s="2">
        <f>K2/SQRT(0.837)</f>
        <v>0.33555328887885955</v>
      </c>
    </row>
    <row r="3" spans="1:12" x14ac:dyDescent="0.25">
      <c r="A3" s="1">
        <v>1</v>
      </c>
      <c r="B3" s="1">
        <v>2</v>
      </c>
      <c r="C3" s="1">
        <v>1</v>
      </c>
      <c r="D3" s="1">
        <v>75</v>
      </c>
      <c r="E3" s="1">
        <v>0.85</v>
      </c>
      <c r="F3" s="1">
        <v>7.7799999999999994E-2</v>
      </c>
      <c r="G3" s="1">
        <v>5.444</v>
      </c>
      <c r="H3" s="1">
        <v>0.36820000000000003</v>
      </c>
      <c r="I3" s="1">
        <v>0.56579999999999997</v>
      </c>
      <c r="K3" s="2">
        <f t="shared" ref="K3:K66" si="0">F3*4.05</f>
        <v>0.31508999999999998</v>
      </c>
      <c r="L3" s="2">
        <f t="shared" ref="L3:L66" si="1">K3/SQRT(0.837)</f>
        <v>0.34440693766194291</v>
      </c>
    </row>
    <row r="4" spans="1:12" x14ac:dyDescent="0.25">
      <c r="A4" s="1">
        <v>1</v>
      </c>
      <c r="B4" s="1">
        <v>7</v>
      </c>
      <c r="C4" s="1">
        <v>2</v>
      </c>
      <c r="D4" s="1">
        <v>60</v>
      </c>
      <c r="E4" s="1">
        <v>1.05</v>
      </c>
      <c r="F4" s="1">
        <v>9.69E-2</v>
      </c>
      <c r="G4" s="1">
        <v>5.3319999999999999</v>
      </c>
      <c r="H4" s="1">
        <v>0.8155</v>
      </c>
      <c r="I4" s="1">
        <v>1.1014999999999999</v>
      </c>
      <c r="K4" s="2">
        <f t="shared" si="0"/>
        <v>0.39244499999999999</v>
      </c>
      <c r="L4" s="2">
        <f t="shared" si="1"/>
        <v>0.42895928354038904</v>
      </c>
    </row>
    <row r="5" spans="1:12" x14ac:dyDescent="0.25">
      <c r="A5" s="1">
        <v>1</v>
      </c>
      <c r="B5" s="1">
        <v>4</v>
      </c>
      <c r="C5" s="1">
        <v>4</v>
      </c>
      <c r="D5" s="1">
        <v>255</v>
      </c>
      <c r="E5" s="1">
        <v>0.55000000000000004</v>
      </c>
      <c r="F5" s="1">
        <v>6.7100000000000007E-2</v>
      </c>
      <c r="G5" s="1">
        <v>16.763999999999999</v>
      </c>
      <c r="H5" s="1">
        <v>0.16520000000000001</v>
      </c>
      <c r="I5" s="1">
        <v>0.92930000000000001</v>
      </c>
      <c r="K5" s="2">
        <f t="shared" si="0"/>
        <v>0.27175500000000002</v>
      </c>
      <c r="L5" s="2">
        <f t="shared" si="1"/>
        <v>0.29703991667244695</v>
      </c>
    </row>
    <row r="6" spans="1:12" x14ac:dyDescent="0.25">
      <c r="A6" s="1">
        <v>1</v>
      </c>
      <c r="B6" s="1">
        <v>5</v>
      </c>
      <c r="C6" s="1">
        <v>5</v>
      </c>
      <c r="D6" s="1">
        <v>105</v>
      </c>
      <c r="E6" s="1">
        <v>0.95</v>
      </c>
      <c r="F6" s="1">
        <v>9.5799999999999996E-2</v>
      </c>
      <c r="G6" s="1">
        <v>9.5839999999999996</v>
      </c>
      <c r="H6" s="1">
        <v>0.65269999999999995</v>
      </c>
      <c r="I6" s="1">
        <v>1.3456999999999999</v>
      </c>
      <c r="K6" s="2">
        <f t="shared" si="0"/>
        <v>0.38798999999999995</v>
      </c>
      <c r="L6" s="2">
        <f t="shared" si="1"/>
        <v>0.42408977670969317</v>
      </c>
    </row>
    <row r="7" spans="1:12" x14ac:dyDescent="0.25">
      <c r="A7" s="1">
        <v>1</v>
      </c>
      <c r="B7" s="1">
        <v>6</v>
      </c>
      <c r="C7" s="1">
        <v>6</v>
      </c>
      <c r="D7" s="1">
        <v>75</v>
      </c>
      <c r="E7" s="1">
        <v>0.85</v>
      </c>
      <c r="F7" s="1">
        <v>0.1036</v>
      </c>
      <c r="G7" s="1">
        <v>7.2519999999999998</v>
      </c>
      <c r="H7" s="1">
        <v>0.54920000000000002</v>
      </c>
      <c r="I7" s="1">
        <v>0.9466</v>
      </c>
      <c r="K7" s="2">
        <f t="shared" si="0"/>
        <v>0.41957999999999995</v>
      </c>
      <c r="L7" s="2">
        <f t="shared" si="1"/>
        <v>0.45861900696371827</v>
      </c>
    </row>
    <row r="8" spans="1:12" x14ac:dyDescent="0.25">
      <c r="A8" s="1">
        <v>1</v>
      </c>
      <c r="B8" s="1">
        <v>3</v>
      </c>
      <c r="C8" s="1">
        <v>1</v>
      </c>
      <c r="D8" s="1">
        <v>255</v>
      </c>
      <c r="E8" s="1">
        <v>0.55000000000000004</v>
      </c>
      <c r="F8" s="1">
        <v>7.8899999999999998E-2</v>
      </c>
      <c r="G8" s="1">
        <v>19.722000000000001</v>
      </c>
      <c r="H8" s="1">
        <v>0.2452</v>
      </c>
      <c r="I8" s="1">
        <v>1.3164</v>
      </c>
      <c r="K8" s="2">
        <f t="shared" si="0"/>
        <v>0.31954499999999997</v>
      </c>
      <c r="L8" s="2">
        <f t="shared" si="1"/>
        <v>0.34927644449263873</v>
      </c>
    </row>
    <row r="9" spans="1:12" x14ac:dyDescent="0.25">
      <c r="A9" s="1">
        <v>2</v>
      </c>
      <c r="B9" s="1">
        <v>1</v>
      </c>
      <c r="C9" s="1">
        <v>1</v>
      </c>
      <c r="D9" s="1">
        <v>135</v>
      </c>
      <c r="E9" s="1">
        <v>0.65</v>
      </c>
      <c r="F9" s="1">
        <v>9.1300000000000006E-2</v>
      </c>
      <c r="G9" s="1">
        <v>11.863</v>
      </c>
      <c r="H9" s="1">
        <v>0.23180000000000001</v>
      </c>
      <c r="I9" s="1">
        <v>0.62470000000000003</v>
      </c>
      <c r="K9" s="2">
        <f t="shared" si="0"/>
        <v>0.36976500000000001</v>
      </c>
      <c r="L9" s="2">
        <f t="shared" si="1"/>
        <v>0.40416906694775562</v>
      </c>
    </row>
    <row r="10" spans="1:12" x14ac:dyDescent="0.25">
      <c r="A10" s="1">
        <v>2</v>
      </c>
      <c r="B10" s="1">
        <v>2</v>
      </c>
      <c r="C10" s="1">
        <v>2</v>
      </c>
      <c r="D10" s="1">
        <v>105</v>
      </c>
      <c r="E10" s="1">
        <v>0.85</v>
      </c>
      <c r="F10" s="1">
        <v>9.6100000000000005E-2</v>
      </c>
      <c r="G10" s="1">
        <v>9.6069999999999993</v>
      </c>
      <c r="H10" s="1">
        <v>0.44030000000000002</v>
      </c>
      <c r="I10" s="1">
        <v>1.0215000000000001</v>
      </c>
      <c r="K10" s="2">
        <f t="shared" si="0"/>
        <v>0.38920500000000002</v>
      </c>
      <c r="L10" s="2">
        <f t="shared" si="1"/>
        <v>0.42541782402715572</v>
      </c>
    </row>
    <row r="11" spans="1:12" x14ac:dyDescent="0.25">
      <c r="A11" s="1">
        <v>2</v>
      </c>
      <c r="B11" s="1">
        <v>3</v>
      </c>
      <c r="C11" s="1">
        <v>3</v>
      </c>
      <c r="D11" s="1">
        <v>75</v>
      </c>
      <c r="E11" s="1">
        <v>0.95</v>
      </c>
      <c r="F11" s="1">
        <v>0.10349999999999999</v>
      </c>
      <c r="G11" s="1">
        <v>7.2430000000000003</v>
      </c>
      <c r="H11" s="1">
        <v>0.57579999999999998</v>
      </c>
      <c r="I11" s="1">
        <v>0.76649999999999996</v>
      </c>
      <c r="K11" s="2">
        <f t="shared" si="0"/>
        <v>0.41917499999999996</v>
      </c>
      <c r="L11" s="2">
        <f t="shared" si="1"/>
        <v>0.45817632452456414</v>
      </c>
    </row>
    <row r="12" spans="1:12" x14ac:dyDescent="0.25">
      <c r="A12" s="1">
        <v>2</v>
      </c>
      <c r="B12" s="1">
        <v>4</v>
      </c>
      <c r="C12" s="1">
        <v>4</v>
      </c>
      <c r="D12" s="1">
        <v>135</v>
      </c>
      <c r="E12" s="1">
        <v>0.75</v>
      </c>
      <c r="F12" s="1">
        <v>0.1004</v>
      </c>
      <c r="G12" s="1">
        <v>13.045999999999999</v>
      </c>
      <c r="H12" s="1">
        <v>0.39360000000000001</v>
      </c>
      <c r="I12" s="1">
        <v>1.0703</v>
      </c>
      <c r="K12" s="2">
        <f t="shared" si="0"/>
        <v>0.40661999999999998</v>
      </c>
      <c r="L12" s="2">
        <f t="shared" si="1"/>
        <v>0.4444531689107849</v>
      </c>
    </row>
    <row r="13" spans="1:12" x14ac:dyDescent="0.25">
      <c r="A13" s="1">
        <v>2</v>
      </c>
      <c r="B13" s="1">
        <v>5</v>
      </c>
      <c r="C13" s="1">
        <v>5</v>
      </c>
      <c r="D13" s="1">
        <v>75</v>
      </c>
      <c r="E13" s="1">
        <v>0.65</v>
      </c>
      <c r="F13" s="1">
        <v>8.2100000000000006E-2</v>
      </c>
      <c r="G13" s="1">
        <v>5.75</v>
      </c>
      <c r="H13" s="1">
        <v>0.25769999999999998</v>
      </c>
      <c r="I13" s="1">
        <v>0.36880000000000002</v>
      </c>
      <c r="K13" s="2">
        <f t="shared" si="0"/>
        <v>0.332505</v>
      </c>
      <c r="L13" s="2">
        <f t="shared" si="1"/>
        <v>0.36344228254557215</v>
      </c>
    </row>
    <row r="14" spans="1:12" x14ac:dyDescent="0.25">
      <c r="A14" s="1">
        <v>2</v>
      </c>
      <c r="B14" s="1">
        <v>6</v>
      </c>
      <c r="C14" s="1">
        <v>6</v>
      </c>
      <c r="D14" s="1">
        <v>255</v>
      </c>
      <c r="E14" s="1">
        <v>0.85</v>
      </c>
      <c r="F14" s="1">
        <v>9.5100000000000004E-2</v>
      </c>
      <c r="G14" s="1">
        <v>23.768000000000001</v>
      </c>
      <c r="H14" s="1">
        <v>0.31530000000000002</v>
      </c>
      <c r="I14" s="1">
        <v>1.5972999999999999</v>
      </c>
      <c r="K14" s="2">
        <f t="shared" si="0"/>
        <v>0.38515500000000003</v>
      </c>
      <c r="L14" s="2">
        <f t="shared" si="1"/>
        <v>0.42099099963561404</v>
      </c>
    </row>
    <row r="15" spans="1:12" x14ac:dyDescent="0.25">
      <c r="A15" s="1">
        <v>3</v>
      </c>
      <c r="B15" s="1">
        <v>1</v>
      </c>
      <c r="C15" s="1">
        <v>1</v>
      </c>
      <c r="D15" s="1">
        <v>135</v>
      </c>
      <c r="E15" s="1">
        <v>0.75</v>
      </c>
      <c r="F15" s="1">
        <v>8.8900000000000007E-2</v>
      </c>
      <c r="G15" s="1">
        <v>11.558</v>
      </c>
      <c r="H15" s="1">
        <v>0.28970000000000001</v>
      </c>
      <c r="I15" s="1">
        <v>0.87519999999999998</v>
      </c>
      <c r="K15" s="2">
        <f t="shared" si="0"/>
        <v>0.360045</v>
      </c>
      <c r="L15" s="2">
        <f t="shared" si="1"/>
        <v>0.39354468840805562</v>
      </c>
    </row>
    <row r="16" spans="1:12" x14ac:dyDescent="0.25">
      <c r="A16" s="1">
        <v>3</v>
      </c>
      <c r="B16" s="1">
        <v>2</v>
      </c>
      <c r="C16" s="1">
        <v>2</v>
      </c>
      <c r="D16" s="1">
        <v>60</v>
      </c>
      <c r="E16" s="1">
        <v>0.75</v>
      </c>
      <c r="F16" s="1">
        <v>8.4699999999999998E-2</v>
      </c>
      <c r="G16" s="1">
        <v>4.6589999999999998</v>
      </c>
      <c r="H16" s="1">
        <v>0.35930000000000001</v>
      </c>
      <c r="I16" s="1">
        <v>0.42009999999999997</v>
      </c>
      <c r="K16" s="2">
        <f t="shared" si="0"/>
        <v>0.34303499999999998</v>
      </c>
      <c r="L16" s="2">
        <f t="shared" si="1"/>
        <v>0.37495202596358052</v>
      </c>
    </row>
    <row r="17" spans="1:12" x14ac:dyDescent="0.25">
      <c r="A17" s="1">
        <v>3</v>
      </c>
      <c r="B17" s="1">
        <v>3</v>
      </c>
      <c r="C17" s="1">
        <v>3</v>
      </c>
      <c r="D17" s="1">
        <v>255</v>
      </c>
      <c r="E17" s="1">
        <v>0.95</v>
      </c>
      <c r="F17" s="1">
        <v>7.3999999999999996E-2</v>
      </c>
      <c r="G17" s="1">
        <v>18.5</v>
      </c>
      <c r="H17" s="1">
        <v>0.312</v>
      </c>
      <c r="I17" s="1">
        <v>1.7159</v>
      </c>
      <c r="K17" s="2">
        <f t="shared" si="0"/>
        <v>0.29969999999999997</v>
      </c>
      <c r="L17" s="2">
        <f t="shared" si="1"/>
        <v>0.32758500497408449</v>
      </c>
    </row>
    <row r="18" spans="1:12" x14ac:dyDescent="0.25">
      <c r="A18" s="1">
        <v>3</v>
      </c>
      <c r="B18" s="1">
        <v>4</v>
      </c>
      <c r="C18" s="1">
        <v>4</v>
      </c>
      <c r="D18" s="1">
        <v>105</v>
      </c>
      <c r="E18" s="1">
        <v>1.05</v>
      </c>
      <c r="F18" s="1">
        <v>0.10059999999999999</v>
      </c>
      <c r="G18" s="1">
        <v>10.058999999999999</v>
      </c>
      <c r="H18" s="1">
        <v>0.46700000000000003</v>
      </c>
      <c r="I18" s="1">
        <v>1.1034999999999999</v>
      </c>
      <c r="K18" s="2">
        <f t="shared" si="0"/>
        <v>0.40742999999999996</v>
      </c>
      <c r="L18" s="2">
        <f t="shared" si="1"/>
        <v>0.44533853378909322</v>
      </c>
    </row>
    <row r="19" spans="1:12" x14ac:dyDescent="0.25">
      <c r="A19" s="1">
        <v>3</v>
      </c>
      <c r="B19" s="1">
        <v>5</v>
      </c>
      <c r="C19" s="1">
        <v>5</v>
      </c>
      <c r="D19" s="1">
        <v>105</v>
      </c>
      <c r="E19" s="1">
        <v>0.65</v>
      </c>
      <c r="F19" s="1">
        <v>8.2699999999999996E-2</v>
      </c>
      <c r="G19" s="1">
        <v>8.2690000000000001</v>
      </c>
      <c r="H19" s="1">
        <v>0.21959999999999999</v>
      </c>
      <c r="I19" s="1">
        <v>0.42330000000000001</v>
      </c>
      <c r="K19" s="2">
        <f t="shared" si="0"/>
        <v>0.33493499999999998</v>
      </c>
      <c r="L19" s="2">
        <f t="shared" si="1"/>
        <v>0.36609837718049715</v>
      </c>
    </row>
    <row r="20" spans="1:12" x14ac:dyDescent="0.25">
      <c r="A20" s="1">
        <v>3</v>
      </c>
      <c r="B20" s="1">
        <v>6</v>
      </c>
      <c r="C20" s="1">
        <v>6</v>
      </c>
      <c r="D20" s="1">
        <v>135</v>
      </c>
      <c r="E20" s="1">
        <v>0.95</v>
      </c>
      <c r="F20" s="1">
        <v>9.4700000000000006E-2</v>
      </c>
      <c r="G20" s="1">
        <v>12.307</v>
      </c>
      <c r="H20" s="1">
        <v>0.39140000000000003</v>
      </c>
      <c r="I20" s="1">
        <v>1.0911999999999999</v>
      </c>
      <c r="K20" s="2">
        <f t="shared" si="0"/>
        <v>0.38353500000000001</v>
      </c>
      <c r="L20" s="2">
        <f t="shared" si="1"/>
        <v>0.41922026987899735</v>
      </c>
    </row>
    <row r="21" spans="1:12" x14ac:dyDescent="0.25">
      <c r="A21" s="1">
        <v>4</v>
      </c>
      <c r="B21" s="1">
        <v>1</v>
      </c>
      <c r="C21" s="1">
        <v>1</v>
      </c>
      <c r="D21" s="1">
        <v>195</v>
      </c>
      <c r="E21" s="1">
        <v>0.65</v>
      </c>
      <c r="F21" s="1">
        <v>8.8599999999999998E-2</v>
      </c>
      <c r="G21" s="1">
        <v>16.84</v>
      </c>
      <c r="H21" s="1">
        <v>0.21640000000000001</v>
      </c>
      <c r="I21" s="1">
        <v>0.87260000000000004</v>
      </c>
      <c r="K21" s="2">
        <f t="shared" si="0"/>
        <v>0.35882999999999998</v>
      </c>
      <c r="L21" s="2">
        <f t="shared" si="1"/>
        <v>0.39221664109059307</v>
      </c>
    </row>
    <row r="22" spans="1:12" x14ac:dyDescent="0.25">
      <c r="A22" s="1">
        <v>4</v>
      </c>
      <c r="B22" s="1">
        <v>2</v>
      </c>
      <c r="C22" s="1">
        <v>2</v>
      </c>
      <c r="D22" s="1">
        <v>105</v>
      </c>
      <c r="E22" s="1">
        <v>0.75</v>
      </c>
      <c r="F22" s="1">
        <v>9.1200000000000003E-2</v>
      </c>
      <c r="G22" s="1">
        <v>9.125</v>
      </c>
      <c r="H22" s="1">
        <v>0.30580000000000002</v>
      </c>
      <c r="I22" s="1">
        <v>0.68840000000000001</v>
      </c>
      <c r="K22" s="2">
        <f t="shared" si="0"/>
        <v>0.36936000000000002</v>
      </c>
      <c r="L22" s="2">
        <f t="shared" si="1"/>
        <v>0.40372638450860149</v>
      </c>
    </row>
    <row r="23" spans="1:12" x14ac:dyDescent="0.25">
      <c r="A23" s="1">
        <v>4</v>
      </c>
      <c r="B23" s="1">
        <v>3</v>
      </c>
      <c r="C23" s="1">
        <v>3</v>
      </c>
      <c r="D23" s="1">
        <v>195</v>
      </c>
      <c r="E23" s="1">
        <v>1.05</v>
      </c>
      <c r="F23" s="1">
        <v>0.10630000000000001</v>
      </c>
      <c r="G23" s="1">
        <v>20.190999999999999</v>
      </c>
      <c r="H23" s="1">
        <v>0.64810000000000001</v>
      </c>
      <c r="I23" s="1">
        <v>2.5889000000000002</v>
      </c>
      <c r="K23" s="2">
        <f t="shared" si="0"/>
        <v>0.43051499999999998</v>
      </c>
      <c r="L23" s="2">
        <f t="shared" si="1"/>
        <v>0.47057143282088087</v>
      </c>
    </row>
    <row r="24" spans="1:12" x14ac:dyDescent="0.25">
      <c r="A24" s="1">
        <v>4</v>
      </c>
      <c r="B24" s="1">
        <v>4</v>
      </c>
      <c r="C24" s="1">
        <v>4</v>
      </c>
      <c r="D24" s="1">
        <v>105</v>
      </c>
      <c r="E24" s="1">
        <v>0.55000000000000004</v>
      </c>
      <c r="F24" s="1">
        <v>0.1002</v>
      </c>
      <c r="G24" s="1">
        <v>10.019</v>
      </c>
      <c r="H24" s="1">
        <v>0.21929999999999999</v>
      </c>
      <c r="I24" s="1">
        <v>0.42149999999999999</v>
      </c>
      <c r="K24" s="2">
        <f t="shared" si="0"/>
        <v>0.40580999999999995</v>
      </c>
      <c r="L24" s="2">
        <f t="shared" si="1"/>
        <v>0.44356780403247653</v>
      </c>
    </row>
    <row r="25" spans="1:12" x14ac:dyDescent="0.25">
      <c r="A25" s="1">
        <v>4</v>
      </c>
      <c r="B25" s="1">
        <v>5</v>
      </c>
      <c r="C25" s="1">
        <v>5</v>
      </c>
      <c r="D25" s="1">
        <v>135</v>
      </c>
      <c r="E25" s="1">
        <v>0.75</v>
      </c>
      <c r="F25" s="1">
        <v>0.1163</v>
      </c>
      <c r="G25" s="1">
        <v>15.119</v>
      </c>
      <c r="H25" s="1">
        <v>0.36459999999999998</v>
      </c>
      <c r="I25" s="1">
        <v>0.95909999999999995</v>
      </c>
      <c r="K25" s="2">
        <f t="shared" si="0"/>
        <v>0.47101499999999996</v>
      </c>
      <c r="L25" s="2">
        <f t="shared" si="1"/>
        <v>0.5148396767362976</v>
      </c>
    </row>
    <row r="26" spans="1:12" x14ac:dyDescent="0.25">
      <c r="A26" s="1">
        <v>4</v>
      </c>
      <c r="B26" s="1">
        <v>6</v>
      </c>
      <c r="C26" s="1">
        <v>6</v>
      </c>
      <c r="D26" s="1">
        <v>60</v>
      </c>
      <c r="E26" s="1">
        <v>0.95</v>
      </c>
      <c r="F26" s="1">
        <v>0.11749999999999999</v>
      </c>
      <c r="G26" s="1">
        <v>6.4619999999999997</v>
      </c>
      <c r="H26" s="1">
        <v>0.81989999999999996</v>
      </c>
      <c r="I26" s="1">
        <v>1.0243</v>
      </c>
      <c r="K26" s="2">
        <f t="shared" si="0"/>
        <v>0.47587499999999994</v>
      </c>
      <c r="L26" s="2">
        <f t="shared" si="1"/>
        <v>0.5201518660061476</v>
      </c>
    </row>
    <row r="27" spans="1:12" x14ac:dyDescent="0.25">
      <c r="A27" s="1">
        <v>5</v>
      </c>
      <c r="B27" s="1">
        <v>1</v>
      </c>
      <c r="C27" s="1">
        <v>1</v>
      </c>
      <c r="D27" s="1">
        <v>135</v>
      </c>
      <c r="E27" s="1">
        <v>0.75</v>
      </c>
      <c r="F27" s="1">
        <v>6.6699999999999995E-2</v>
      </c>
      <c r="G27" s="1">
        <v>8.6679999999999993</v>
      </c>
      <c r="H27" s="1">
        <v>0.28370000000000001</v>
      </c>
      <c r="I27" s="1">
        <v>0.8286</v>
      </c>
      <c r="K27" s="2">
        <f t="shared" si="0"/>
        <v>0.27013499999999996</v>
      </c>
      <c r="L27" s="2">
        <f t="shared" si="1"/>
        <v>0.29526918691583021</v>
      </c>
    </row>
    <row r="28" spans="1:12" x14ac:dyDescent="0.25">
      <c r="A28" s="1">
        <v>5</v>
      </c>
      <c r="B28" s="1">
        <v>2</v>
      </c>
      <c r="C28" s="1">
        <v>2</v>
      </c>
      <c r="D28" s="1">
        <v>195</v>
      </c>
      <c r="E28" s="1">
        <v>0.85</v>
      </c>
      <c r="F28" s="1">
        <v>7.3099999999999998E-2</v>
      </c>
      <c r="G28" s="1">
        <v>13.882999999999999</v>
      </c>
      <c r="H28" s="1">
        <v>0.29820000000000002</v>
      </c>
      <c r="I28" s="1">
        <v>1.3097000000000001</v>
      </c>
      <c r="K28" s="2">
        <f t="shared" si="0"/>
        <v>0.29605499999999996</v>
      </c>
      <c r="L28" s="2">
        <f t="shared" si="1"/>
        <v>0.32360086302169694</v>
      </c>
    </row>
    <row r="29" spans="1:12" x14ac:dyDescent="0.25">
      <c r="A29" s="1">
        <v>5</v>
      </c>
      <c r="B29" s="1">
        <v>3</v>
      </c>
      <c r="C29" s="1">
        <v>3</v>
      </c>
      <c r="D29" s="1">
        <v>60</v>
      </c>
      <c r="E29" s="1">
        <v>0.95</v>
      </c>
      <c r="F29" s="1">
        <v>7.5700000000000003E-2</v>
      </c>
      <c r="G29" s="1">
        <v>4.1660000000000004</v>
      </c>
      <c r="H29" s="1">
        <v>0.61470000000000002</v>
      </c>
      <c r="I29" s="1">
        <v>0.67669999999999997</v>
      </c>
      <c r="K29" s="2">
        <f t="shared" si="0"/>
        <v>0.306585</v>
      </c>
      <c r="L29" s="2">
        <f t="shared" si="1"/>
        <v>0.33511060643970536</v>
      </c>
    </row>
    <row r="30" spans="1:12" x14ac:dyDescent="0.25">
      <c r="A30" s="1">
        <v>5</v>
      </c>
      <c r="B30" s="1">
        <v>4</v>
      </c>
      <c r="C30" s="1">
        <v>4</v>
      </c>
      <c r="D30" s="1">
        <v>75</v>
      </c>
      <c r="E30" s="1">
        <v>0.65</v>
      </c>
      <c r="F30" s="1">
        <v>8.0600000000000005E-2</v>
      </c>
      <c r="G30" s="1">
        <v>5.6420000000000003</v>
      </c>
      <c r="H30" s="1">
        <v>0.4194</v>
      </c>
      <c r="I30" s="1">
        <v>0.63949999999999996</v>
      </c>
      <c r="K30" s="2">
        <f t="shared" si="0"/>
        <v>0.32643</v>
      </c>
      <c r="L30" s="2">
        <f t="shared" si="1"/>
        <v>0.35680204595825959</v>
      </c>
    </row>
    <row r="31" spans="1:12" x14ac:dyDescent="0.25">
      <c r="A31" s="1">
        <v>5</v>
      </c>
      <c r="B31" s="1">
        <v>5</v>
      </c>
      <c r="C31" s="1">
        <v>5</v>
      </c>
      <c r="D31" s="1">
        <v>135</v>
      </c>
      <c r="E31" s="1">
        <v>1.05</v>
      </c>
      <c r="F31" s="1">
        <v>0.1033</v>
      </c>
      <c r="G31" s="1">
        <v>13.435</v>
      </c>
      <c r="H31" s="1">
        <v>0.64639999999999997</v>
      </c>
      <c r="I31" s="1">
        <v>1.7665</v>
      </c>
      <c r="K31" s="2">
        <f t="shared" si="0"/>
        <v>0.41836499999999999</v>
      </c>
      <c r="L31" s="2">
        <f t="shared" si="1"/>
        <v>0.45729095964625582</v>
      </c>
    </row>
    <row r="32" spans="1:12" x14ac:dyDescent="0.25">
      <c r="A32" s="1">
        <v>5</v>
      </c>
      <c r="B32" s="1">
        <v>6</v>
      </c>
      <c r="C32" s="1">
        <v>6</v>
      </c>
      <c r="D32" s="1">
        <v>75</v>
      </c>
      <c r="E32" s="1">
        <v>0.55000000000000004</v>
      </c>
      <c r="F32" s="1">
        <v>6.6699999999999995E-2</v>
      </c>
      <c r="G32" s="1">
        <v>4.6669999999999998</v>
      </c>
      <c r="H32" s="1">
        <v>0.2286</v>
      </c>
      <c r="I32" s="1">
        <v>0.3422</v>
      </c>
      <c r="K32" s="2">
        <f t="shared" si="0"/>
        <v>0.27013499999999996</v>
      </c>
      <c r="L32" s="2">
        <f t="shared" si="1"/>
        <v>0.29526918691583021</v>
      </c>
    </row>
    <row r="33" spans="1:12" x14ac:dyDescent="0.25">
      <c r="A33" s="1">
        <v>6</v>
      </c>
      <c r="B33" s="1">
        <v>1</v>
      </c>
      <c r="C33" s="1">
        <v>1</v>
      </c>
      <c r="D33" s="1">
        <v>105</v>
      </c>
      <c r="E33" s="1">
        <v>0.85</v>
      </c>
      <c r="F33" s="1">
        <v>0.10100000000000001</v>
      </c>
      <c r="G33" s="1">
        <v>10.103999999999999</v>
      </c>
      <c r="H33" s="1">
        <v>0.48199999999999998</v>
      </c>
      <c r="I33" s="1">
        <v>1.0364</v>
      </c>
      <c r="K33" s="2">
        <f t="shared" si="0"/>
        <v>0.40905000000000002</v>
      </c>
      <c r="L33" s="2">
        <f t="shared" si="1"/>
        <v>0.44710926354570996</v>
      </c>
    </row>
    <row r="34" spans="1:12" x14ac:dyDescent="0.25">
      <c r="A34" s="1">
        <v>6</v>
      </c>
      <c r="B34" s="1">
        <v>2</v>
      </c>
      <c r="C34" s="1">
        <v>2</v>
      </c>
      <c r="D34" s="1">
        <v>60</v>
      </c>
      <c r="E34" s="1">
        <v>0.65</v>
      </c>
      <c r="F34" s="1">
        <v>0.10059999999999999</v>
      </c>
      <c r="G34" s="1">
        <v>5.532</v>
      </c>
      <c r="H34" s="1">
        <v>0.4224</v>
      </c>
      <c r="I34" s="1">
        <v>0.47149999999999997</v>
      </c>
      <c r="K34" s="2">
        <f t="shared" si="0"/>
        <v>0.40742999999999996</v>
      </c>
      <c r="L34" s="2">
        <f t="shared" si="1"/>
        <v>0.44533853378909322</v>
      </c>
    </row>
    <row r="35" spans="1:12" x14ac:dyDescent="0.25">
      <c r="A35" s="1">
        <v>6</v>
      </c>
      <c r="B35" s="1">
        <v>3</v>
      </c>
      <c r="C35" s="1">
        <v>3</v>
      </c>
      <c r="D35" s="1">
        <v>75</v>
      </c>
      <c r="E35" s="1">
        <v>0.95</v>
      </c>
      <c r="F35" s="1">
        <v>0.1118</v>
      </c>
      <c r="G35" s="1">
        <v>7.8259999999999996</v>
      </c>
      <c r="H35" s="1">
        <v>1.4439</v>
      </c>
      <c r="I35" s="1">
        <v>2.02</v>
      </c>
      <c r="K35" s="2">
        <f t="shared" si="0"/>
        <v>0.45278999999999997</v>
      </c>
      <c r="L35" s="2">
        <f t="shared" si="1"/>
        <v>0.49491896697436011</v>
      </c>
    </row>
    <row r="36" spans="1:12" x14ac:dyDescent="0.25">
      <c r="A36" s="1">
        <v>6</v>
      </c>
      <c r="B36" s="1">
        <v>4</v>
      </c>
      <c r="C36" s="1">
        <v>4</v>
      </c>
      <c r="D36" s="1">
        <v>135</v>
      </c>
      <c r="E36" s="1">
        <v>0.75</v>
      </c>
      <c r="F36" s="1">
        <v>8.3900000000000002E-2</v>
      </c>
      <c r="G36" s="1">
        <v>10.906000000000001</v>
      </c>
      <c r="H36" s="1">
        <v>0.3453</v>
      </c>
      <c r="I36" s="1">
        <v>0.91590000000000005</v>
      </c>
      <c r="K36" s="2">
        <f t="shared" si="0"/>
        <v>0.33979500000000001</v>
      </c>
      <c r="L36" s="2">
        <f t="shared" si="1"/>
        <v>0.3714105664503472</v>
      </c>
    </row>
    <row r="37" spans="1:12" x14ac:dyDescent="0.25">
      <c r="A37" s="1">
        <v>6</v>
      </c>
      <c r="B37" s="1">
        <v>5</v>
      </c>
      <c r="C37" s="1">
        <v>5</v>
      </c>
      <c r="D37" s="1">
        <v>105</v>
      </c>
      <c r="E37" s="1">
        <v>0.55000000000000004</v>
      </c>
      <c r="F37" s="1">
        <v>8.0399999999999999E-2</v>
      </c>
      <c r="G37" s="1">
        <v>8.0440000000000005</v>
      </c>
      <c r="H37" s="1">
        <v>0.2084</v>
      </c>
      <c r="I37" s="1">
        <v>0.42749999999999999</v>
      </c>
      <c r="K37" s="2">
        <f t="shared" si="0"/>
        <v>0.32561999999999997</v>
      </c>
      <c r="L37" s="2">
        <f t="shared" si="1"/>
        <v>0.35591668107995122</v>
      </c>
    </row>
    <row r="38" spans="1:12" x14ac:dyDescent="0.25">
      <c r="A38" s="1">
        <v>6</v>
      </c>
      <c r="B38" s="1">
        <v>6</v>
      </c>
      <c r="C38" s="1">
        <v>6</v>
      </c>
      <c r="D38" s="1">
        <v>195</v>
      </c>
      <c r="E38" s="1">
        <v>0.95</v>
      </c>
      <c r="F38" s="1">
        <v>8.5699999999999998E-2</v>
      </c>
      <c r="G38" s="1">
        <v>16.285</v>
      </c>
      <c r="H38" s="1">
        <v>0.76380000000000003</v>
      </c>
      <c r="I38" s="1">
        <v>3.3315999999999999</v>
      </c>
      <c r="K38" s="2">
        <f t="shared" si="0"/>
        <v>0.34708499999999998</v>
      </c>
      <c r="L38" s="2">
        <f t="shared" si="1"/>
        <v>0.3793788503551222</v>
      </c>
    </row>
    <row r="39" spans="1:12" x14ac:dyDescent="0.25">
      <c r="A39" s="1">
        <v>7</v>
      </c>
      <c r="B39" s="1">
        <v>1</v>
      </c>
      <c r="C39" s="1">
        <v>1</v>
      </c>
      <c r="D39" s="1">
        <v>132</v>
      </c>
      <c r="E39" s="1">
        <v>0.75</v>
      </c>
      <c r="F39" s="1">
        <v>8.1600000000000006E-2</v>
      </c>
      <c r="G39" s="1">
        <v>10.367000000000001</v>
      </c>
      <c r="H39" s="1">
        <v>0.42309999999999998</v>
      </c>
      <c r="I39" s="1">
        <v>1.1919999999999999</v>
      </c>
      <c r="K39" s="2">
        <f t="shared" si="0"/>
        <v>0.33048</v>
      </c>
      <c r="L39" s="2">
        <f t="shared" si="1"/>
        <v>0.36122887034980128</v>
      </c>
    </row>
    <row r="40" spans="1:12" x14ac:dyDescent="0.25">
      <c r="A40" s="1">
        <v>7</v>
      </c>
      <c r="B40" s="1">
        <v>2</v>
      </c>
      <c r="C40" s="1">
        <v>2</v>
      </c>
      <c r="D40" s="1">
        <v>102</v>
      </c>
      <c r="E40" s="1">
        <v>0.65</v>
      </c>
      <c r="F40" s="1">
        <v>0.1125</v>
      </c>
      <c r="G40" s="1">
        <v>10.912000000000001</v>
      </c>
      <c r="H40" s="1">
        <v>0.32850000000000001</v>
      </c>
      <c r="I40" s="1">
        <v>0.72589999999999999</v>
      </c>
      <c r="K40" s="2">
        <f t="shared" si="0"/>
        <v>0.455625</v>
      </c>
      <c r="L40" s="2">
        <f t="shared" si="1"/>
        <v>0.49801774404843929</v>
      </c>
    </row>
    <row r="41" spans="1:12" x14ac:dyDescent="0.25">
      <c r="A41" s="1">
        <v>7</v>
      </c>
      <c r="B41" s="1">
        <v>3</v>
      </c>
      <c r="C41" s="1">
        <v>3</v>
      </c>
      <c r="D41" s="1">
        <v>192</v>
      </c>
      <c r="E41" s="1">
        <v>0.95</v>
      </c>
      <c r="F41" s="1">
        <v>9.2799999999999994E-2</v>
      </c>
      <c r="G41" s="1">
        <v>17.361999999999998</v>
      </c>
      <c r="H41" s="1">
        <v>0.77370000000000005</v>
      </c>
      <c r="I41" s="1">
        <v>3.2271000000000001</v>
      </c>
      <c r="K41" s="2">
        <f t="shared" si="0"/>
        <v>0.37583999999999995</v>
      </c>
      <c r="L41" s="2">
        <f t="shared" si="1"/>
        <v>0.41080930353506812</v>
      </c>
    </row>
    <row r="42" spans="1:12" x14ac:dyDescent="0.25">
      <c r="A42" s="1">
        <v>7</v>
      </c>
      <c r="B42" s="1">
        <v>4</v>
      </c>
      <c r="C42" s="1">
        <v>4</v>
      </c>
      <c r="D42" s="1">
        <v>252</v>
      </c>
      <c r="E42" s="1">
        <v>0.55000000000000004</v>
      </c>
      <c r="F42" s="1">
        <v>9.4299999999999995E-2</v>
      </c>
      <c r="G42" s="1">
        <v>23.294</v>
      </c>
      <c r="H42" s="1">
        <v>0.28039999999999998</v>
      </c>
      <c r="I42" s="1">
        <v>1.3414999999999999</v>
      </c>
      <c r="K42" s="2">
        <f t="shared" si="0"/>
        <v>0.38191499999999995</v>
      </c>
      <c r="L42" s="2">
        <f t="shared" si="1"/>
        <v>0.41744954012238061</v>
      </c>
    </row>
    <row r="43" spans="1:12" x14ac:dyDescent="0.25">
      <c r="A43" s="1">
        <v>7</v>
      </c>
      <c r="B43" s="1">
        <v>5</v>
      </c>
      <c r="C43" s="1">
        <v>5</v>
      </c>
      <c r="D43" s="1">
        <v>57</v>
      </c>
      <c r="E43" s="1">
        <v>1.05</v>
      </c>
      <c r="F43" s="1">
        <v>0.1173</v>
      </c>
      <c r="G43" s="1">
        <v>6.1020000000000003</v>
      </c>
      <c r="H43" s="1">
        <v>0.85399999999999998</v>
      </c>
      <c r="I43" s="1">
        <v>0.98399999999999999</v>
      </c>
      <c r="K43" s="2">
        <f t="shared" si="0"/>
        <v>0.47506499999999996</v>
      </c>
      <c r="L43" s="2">
        <f t="shared" si="1"/>
        <v>0.51926650112783934</v>
      </c>
    </row>
    <row r="44" spans="1:12" x14ac:dyDescent="0.25">
      <c r="A44" s="1">
        <v>7</v>
      </c>
      <c r="B44" s="1">
        <v>6</v>
      </c>
      <c r="C44" s="1">
        <v>6</v>
      </c>
      <c r="D44" s="1">
        <v>72</v>
      </c>
      <c r="E44" s="1">
        <v>0.85</v>
      </c>
      <c r="F44" s="1">
        <v>9.3299999999999994E-2</v>
      </c>
      <c r="G44" s="1">
        <v>6.2489999999999997</v>
      </c>
      <c r="H44" s="1">
        <v>0.30309999999999998</v>
      </c>
      <c r="I44" s="1">
        <v>0.4894</v>
      </c>
      <c r="K44" s="2">
        <f t="shared" si="0"/>
        <v>0.37786499999999995</v>
      </c>
      <c r="L44" s="2">
        <f t="shared" si="1"/>
        <v>0.41302271573083893</v>
      </c>
    </row>
    <row r="45" spans="1:12" x14ac:dyDescent="0.25">
      <c r="A45" s="1">
        <v>8</v>
      </c>
      <c r="B45" s="1">
        <v>1</v>
      </c>
      <c r="C45" s="1">
        <v>1</v>
      </c>
      <c r="D45" s="1">
        <v>57</v>
      </c>
      <c r="E45" s="1">
        <v>0.75</v>
      </c>
      <c r="F45" s="1">
        <v>7.1300000000000002E-2</v>
      </c>
      <c r="G45" s="1">
        <v>3.7090000000000001</v>
      </c>
      <c r="H45" s="1">
        <v>0.3891</v>
      </c>
      <c r="I45" s="1">
        <v>0.44850000000000001</v>
      </c>
      <c r="K45" s="2">
        <f t="shared" si="0"/>
        <v>0.28876499999999999</v>
      </c>
      <c r="L45" s="2">
        <f t="shared" si="1"/>
        <v>0.315632579116922</v>
      </c>
    </row>
    <row r="46" spans="1:12" x14ac:dyDescent="0.25">
      <c r="A46" s="1">
        <v>8</v>
      </c>
      <c r="B46" s="1">
        <v>2</v>
      </c>
      <c r="C46" s="1">
        <v>2</v>
      </c>
      <c r="D46" s="1">
        <v>192</v>
      </c>
      <c r="E46" s="1">
        <v>1.05</v>
      </c>
      <c r="F46" s="1">
        <v>8.9399999999999993E-2</v>
      </c>
      <c r="G46" s="1">
        <v>16.715</v>
      </c>
      <c r="H46" s="1">
        <v>0.63339999999999996</v>
      </c>
      <c r="I46" s="1">
        <v>2.8212999999999999</v>
      </c>
      <c r="K46" s="2">
        <f t="shared" si="0"/>
        <v>0.36206999999999995</v>
      </c>
      <c r="L46" s="2">
        <f t="shared" si="1"/>
        <v>0.39575810060382638</v>
      </c>
    </row>
    <row r="47" spans="1:12" x14ac:dyDescent="0.25">
      <c r="A47" s="1">
        <v>8</v>
      </c>
      <c r="B47" s="1">
        <v>3</v>
      </c>
      <c r="C47" s="1">
        <v>3</v>
      </c>
      <c r="D47" s="1">
        <v>102</v>
      </c>
      <c r="E47" s="1">
        <v>0.55000000000000004</v>
      </c>
      <c r="F47" s="1">
        <v>5.9200000000000003E-2</v>
      </c>
      <c r="G47" s="1">
        <v>5.7409999999999997</v>
      </c>
      <c r="H47" s="1">
        <v>0.2354</v>
      </c>
      <c r="I47" s="1">
        <v>0.48799999999999999</v>
      </c>
      <c r="K47" s="2">
        <f t="shared" si="0"/>
        <v>0.23976</v>
      </c>
      <c r="L47" s="2">
        <f t="shared" si="1"/>
        <v>0.26206800397926761</v>
      </c>
    </row>
    <row r="48" spans="1:12" x14ac:dyDescent="0.25">
      <c r="A48" s="1">
        <v>8</v>
      </c>
      <c r="B48" s="1">
        <v>4</v>
      </c>
      <c r="C48" s="1">
        <v>4</v>
      </c>
      <c r="D48" s="1">
        <v>132</v>
      </c>
      <c r="E48" s="1">
        <v>0.75</v>
      </c>
      <c r="F48" s="1">
        <v>8.3900000000000002E-2</v>
      </c>
      <c r="G48" s="1">
        <v>10.654</v>
      </c>
      <c r="H48" s="1">
        <v>0.54330000000000001</v>
      </c>
      <c r="I48" s="1">
        <v>1.3772</v>
      </c>
      <c r="K48" s="2">
        <f t="shared" si="0"/>
        <v>0.33979500000000001</v>
      </c>
      <c r="L48" s="2">
        <f t="shared" si="1"/>
        <v>0.3714105664503472</v>
      </c>
    </row>
    <row r="49" spans="1:12" x14ac:dyDescent="0.25">
      <c r="A49" s="1">
        <v>8</v>
      </c>
      <c r="B49" s="1">
        <v>5</v>
      </c>
      <c r="C49" s="1">
        <v>5</v>
      </c>
      <c r="D49" s="1">
        <v>57</v>
      </c>
      <c r="E49" s="1">
        <v>0.65</v>
      </c>
      <c r="F49" s="1">
        <v>8.43E-2</v>
      </c>
      <c r="G49" s="1">
        <v>4.3819999999999997</v>
      </c>
      <c r="H49" s="1">
        <v>0.50960000000000005</v>
      </c>
      <c r="I49" s="1">
        <v>0.55079999999999996</v>
      </c>
      <c r="K49" s="2">
        <f t="shared" si="0"/>
        <v>0.34141499999999997</v>
      </c>
      <c r="L49" s="2">
        <f t="shared" si="1"/>
        <v>0.37318129620696383</v>
      </c>
    </row>
    <row r="50" spans="1:12" x14ac:dyDescent="0.25">
      <c r="A50" s="1">
        <v>8</v>
      </c>
      <c r="B50" s="1">
        <v>6</v>
      </c>
      <c r="C50" s="1">
        <v>6</v>
      </c>
      <c r="D50" s="1">
        <v>72</v>
      </c>
      <c r="E50" s="1">
        <v>0.95</v>
      </c>
      <c r="F50" s="1">
        <v>8.0699999999999994E-2</v>
      </c>
      <c r="G50" s="1">
        <v>5.41</v>
      </c>
      <c r="H50" s="1">
        <v>0.75460000000000005</v>
      </c>
      <c r="I50" s="1">
        <v>1.2537</v>
      </c>
      <c r="K50" s="2">
        <f t="shared" si="0"/>
        <v>0.32683499999999999</v>
      </c>
      <c r="L50" s="2">
        <f t="shared" si="1"/>
        <v>0.35724472839741378</v>
      </c>
    </row>
    <row r="51" spans="1:12" x14ac:dyDescent="0.25">
      <c r="A51" s="1">
        <v>9</v>
      </c>
      <c r="B51" s="1">
        <v>1</v>
      </c>
      <c r="C51" s="1">
        <v>1</v>
      </c>
      <c r="D51" s="1">
        <v>132</v>
      </c>
      <c r="E51" s="1">
        <v>0.75</v>
      </c>
      <c r="F51" s="1">
        <v>7.0999999999999994E-2</v>
      </c>
      <c r="G51" s="1">
        <v>9.0210000000000008</v>
      </c>
      <c r="H51" s="1">
        <v>0.41670000000000001</v>
      </c>
      <c r="I51" s="1">
        <v>1.2269000000000001</v>
      </c>
      <c r="K51" s="2">
        <f t="shared" si="0"/>
        <v>0.28754999999999997</v>
      </c>
      <c r="L51" s="2">
        <f t="shared" si="1"/>
        <v>0.31430453179945944</v>
      </c>
    </row>
    <row r="52" spans="1:12" x14ac:dyDescent="0.25">
      <c r="A52" s="1">
        <v>9</v>
      </c>
      <c r="B52" s="1">
        <v>2</v>
      </c>
      <c r="C52" s="1">
        <v>2</v>
      </c>
      <c r="D52" s="1">
        <v>57</v>
      </c>
      <c r="E52" s="1">
        <v>0.95</v>
      </c>
      <c r="F52" s="1">
        <v>8.4099999999999994E-2</v>
      </c>
      <c r="G52" s="1">
        <v>4.3730000000000002</v>
      </c>
      <c r="H52" s="1">
        <v>0.59209999999999996</v>
      </c>
      <c r="I52" s="1">
        <v>0.68959999999999999</v>
      </c>
      <c r="K52" s="2">
        <f t="shared" si="0"/>
        <v>0.34060499999999994</v>
      </c>
      <c r="L52" s="2">
        <f t="shared" si="1"/>
        <v>0.37229593132865546</v>
      </c>
    </row>
    <row r="53" spans="1:12" x14ac:dyDescent="0.25">
      <c r="A53" s="1">
        <v>9</v>
      </c>
      <c r="B53" s="1">
        <v>3</v>
      </c>
      <c r="C53" s="1">
        <v>3</v>
      </c>
      <c r="D53" s="1">
        <v>102</v>
      </c>
      <c r="E53" s="1">
        <v>1.05</v>
      </c>
      <c r="F53" s="1">
        <v>7.3899999999999993E-2</v>
      </c>
      <c r="G53" s="1">
        <v>7.1669999999999998</v>
      </c>
      <c r="H53" s="1">
        <v>0.9556</v>
      </c>
      <c r="I53" s="1">
        <v>2.0872999999999999</v>
      </c>
      <c r="K53" s="2">
        <f t="shared" si="0"/>
        <v>0.29929499999999998</v>
      </c>
      <c r="L53" s="2">
        <f t="shared" si="1"/>
        <v>0.32714232253493031</v>
      </c>
    </row>
    <row r="54" spans="1:12" x14ac:dyDescent="0.25">
      <c r="A54" s="1">
        <v>9</v>
      </c>
      <c r="B54" s="1">
        <v>4</v>
      </c>
      <c r="C54" s="1">
        <v>4</v>
      </c>
      <c r="D54" s="1">
        <v>192</v>
      </c>
      <c r="E54" s="1">
        <v>0.85</v>
      </c>
      <c r="F54" s="1">
        <v>8.4500000000000006E-2</v>
      </c>
      <c r="G54" s="1">
        <v>15.808</v>
      </c>
      <c r="H54" s="1">
        <v>0.4083</v>
      </c>
      <c r="I54" s="1">
        <v>1.6345000000000001</v>
      </c>
      <c r="K54" s="2">
        <f t="shared" si="0"/>
        <v>0.342225</v>
      </c>
      <c r="L54" s="2">
        <f t="shared" si="1"/>
        <v>0.3740666610852722</v>
      </c>
    </row>
    <row r="55" spans="1:12" x14ac:dyDescent="0.25">
      <c r="A55" s="1">
        <v>9</v>
      </c>
      <c r="B55" s="1">
        <v>5</v>
      </c>
      <c r="C55" s="1">
        <v>5</v>
      </c>
      <c r="D55" s="1">
        <v>132</v>
      </c>
      <c r="E55" s="1">
        <v>0.55000000000000004</v>
      </c>
      <c r="F55" s="1">
        <v>6.7000000000000004E-2</v>
      </c>
      <c r="G55" s="1">
        <v>8.5139999999999993</v>
      </c>
      <c r="H55" s="1">
        <v>0.30309999999999998</v>
      </c>
      <c r="I55" s="1">
        <v>0.82709999999999995</v>
      </c>
      <c r="K55" s="2">
        <f t="shared" si="0"/>
        <v>0.27134999999999998</v>
      </c>
      <c r="L55" s="2">
        <f t="shared" si="1"/>
        <v>0.29659723423329271</v>
      </c>
    </row>
    <row r="56" spans="1:12" x14ac:dyDescent="0.25">
      <c r="A56" s="1">
        <v>9</v>
      </c>
      <c r="B56" s="1">
        <v>6</v>
      </c>
      <c r="C56" s="1">
        <v>6</v>
      </c>
      <c r="D56" s="1">
        <v>132</v>
      </c>
      <c r="E56" s="1">
        <v>0.95</v>
      </c>
      <c r="F56" s="1">
        <v>6.2E-2</v>
      </c>
      <c r="G56" s="1">
        <v>7.8710000000000004</v>
      </c>
      <c r="H56" s="1">
        <v>0.52249999999999996</v>
      </c>
      <c r="I56" s="1">
        <v>1.3682000000000001</v>
      </c>
      <c r="K56" s="2">
        <f t="shared" si="0"/>
        <v>0.25109999999999999</v>
      </c>
      <c r="L56" s="2">
        <f t="shared" si="1"/>
        <v>0.27446311227558434</v>
      </c>
    </row>
    <row r="57" spans="1:12" x14ac:dyDescent="0.25">
      <c r="A57" s="1">
        <v>10</v>
      </c>
      <c r="B57" s="1">
        <v>1</v>
      </c>
      <c r="C57" s="1">
        <v>1</v>
      </c>
      <c r="D57" s="1">
        <v>192</v>
      </c>
      <c r="E57" s="1">
        <v>0.65</v>
      </c>
      <c r="F57" s="1">
        <v>9.6299999999999997E-2</v>
      </c>
      <c r="G57" s="1">
        <v>18.012</v>
      </c>
      <c r="H57" s="1">
        <v>0.2366</v>
      </c>
      <c r="I57" s="1">
        <v>0.93189999999999995</v>
      </c>
      <c r="K57" s="2">
        <f t="shared" si="0"/>
        <v>0.39001499999999995</v>
      </c>
      <c r="L57" s="2">
        <f t="shared" si="1"/>
        <v>0.42630318890546398</v>
      </c>
    </row>
    <row r="58" spans="1:12" x14ac:dyDescent="0.25">
      <c r="A58" s="1">
        <v>10</v>
      </c>
      <c r="B58" s="1">
        <v>2</v>
      </c>
      <c r="C58" s="1">
        <v>2</v>
      </c>
      <c r="D58" s="1">
        <v>252</v>
      </c>
      <c r="E58" s="1">
        <v>0.85</v>
      </c>
      <c r="F58" s="1">
        <v>8.9599999999999999E-2</v>
      </c>
      <c r="G58" s="1">
        <v>22.135000000000002</v>
      </c>
      <c r="H58" s="1">
        <v>0.31290000000000001</v>
      </c>
      <c r="I58" s="1">
        <v>1.6825000000000001</v>
      </c>
      <c r="K58" s="2">
        <f t="shared" si="0"/>
        <v>0.36287999999999998</v>
      </c>
      <c r="L58" s="2">
        <f t="shared" si="1"/>
        <v>0.39664346548213475</v>
      </c>
    </row>
    <row r="59" spans="1:12" x14ac:dyDescent="0.25">
      <c r="A59" s="1">
        <v>10</v>
      </c>
      <c r="B59" s="1">
        <v>3</v>
      </c>
      <c r="C59" s="1">
        <v>3</v>
      </c>
      <c r="D59" s="1">
        <v>72</v>
      </c>
      <c r="E59" s="1">
        <v>1.05</v>
      </c>
      <c r="F59" s="1">
        <v>8.8999999999999996E-2</v>
      </c>
      <c r="G59" s="1">
        <v>5.9640000000000004</v>
      </c>
      <c r="H59" s="1">
        <v>0.33950000000000002</v>
      </c>
      <c r="I59" s="1">
        <v>0.45729999999999998</v>
      </c>
      <c r="K59" s="2">
        <f t="shared" si="0"/>
        <v>0.36044999999999999</v>
      </c>
      <c r="L59" s="2">
        <f t="shared" si="1"/>
        <v>0.39398737084720975</v>
      </c>
    </row>
    <row r="60" spans="1:12" x14ac:dyDescent="0.25">
      <c r="A60" s="1">
        <v>10</v>
      </c>
      <c r="B60" s="1">
        <v>4</v>
      </c>
      <c r="C60" s="1">
        <v>4</v>
      </c>
      <c r="D60" s="1">
        <v>132</v>
      </c>
      <c r="E60" s="1">
        <v>0.75</v>
      </c>
      <c r="F60" s="1">
        <v>9.9199999999999997E-2</v>
      </c>
      <c r="G60" s="1">
        <v>12.593999999999999</v>
      </c>
      <c r="H60" s="1">
        <v>0.37</v>
      </c>
      <c r="I60" s="1">
        <v>0.90259999999999996</v>
      </c>
      <c r="K60" s="2">
        <f t="shared" si="0"/>
        <v>0.40175999999999995</v>
      </c>
      <c r="L60" s="2">
        <f t="shared" si="1"/>
        <v>0.43914097964093485</v>
      </c>
    </row>
    <row r="61" spans="1:12" x14ac:dyDescent="0.25">
      <c r="A61" s="1">
        <v>10</v>
      </c>
      <c r="B61" s="1">
        <v>5</v>
      </c>
      <c r="C61" s="1">
        <v>5</v>
      </c>
      <c r="D61" s="1">
        <v>102</v>
      </c>
      <c r="E61" s="1">
        <v>0.65</v>
      </c>
      <c r="F61" s="1">
        <v>9.1600000000000001E-2</v>
      </c>
      <c r="G61" s="1">
        <v>8.8870000000000005</v>
      </c>
      <c r="H61" s="1">
        <v>0.22789999999999999</v>
      </c>
      <c r="I61" s="1">
        <v>0.4461</v>
      </c>
      <c r="K61" s="2">
        <f t="shared" si="0"/>
        <v>0.37097999999999998</v>
      </c>
      <c r="L61" s="2">
        <f t="shared" si="1"/>
        <v>0.40549711426521812</v>
      </c>
    </row>
    <row r="62" spans="1:12" x14ac:dyDescent="0.25">
      <c r="A62" s="1">
        <v>10</v>
      </c>
      <c r="B62" s="1">
        <v>6</v>
      </c>
      <c r="C62" s="1">
        <v>6</v>
      </c>
      <c r="D62" s="1">
        <v>252</v>
      </c>
      <c r="E62" s="1">
        <v>0.55000000000000004</v>
      </c>
      <c r="F62" s="1">
        <v>8.6699999999999999E-2</v>
      </c>
      <c r="G62" s="1">
        <v>21.411000000000001</v>
      </c>
      <c r="H62" s="1">
        <v>0.22209999999999999</v>
      </c>
      <c r="I62" s="1">
        <v>1.1063000000000001</v>
      </c>
      <c r="K62" s="2">
        <f t="shared" si="0"/>
        <v>0.35113499999999997</v>
      </c>
      <c r="L62" s="2">
        <f t="shared" si="1"/>
        <v>0.38380567474666388</v>
      </c>
    </row>
    <row r="63" spans="1:12" x14ac:dyDescent="0.25">
      <c r="A63" s="1">
        <v>11</v>
      </c>
      <c r="B63" s="1">
        <v>1</v>
      </c>
      <c r="C63" s="1">
        <v>1</v>
      </c>
      <c r="D63" s="1">
        <v>132</v>
      </c>
      <c r="E63" s="1">
        <v>0.75</v>
      </c>
      <c r="F63" s="1">
        <v>0.10059999999999999</v>
      </c>
      <c r="G63" s="1">
        <v>12.782</v>
      </c>
      <c r="H63" s="1">
        <v>0.30959999999999999</v>
      </c>
      <c r="I63" s="1">
        <v>0.80769999999999997</v>
      </c>
      <c r="K63" s="2">
        <f t="shared" si="0"/>
        <v>0.40742999999999996</v>
      </c>
      <c r="L63" s="2">
        <f t="shared" si="1"/>
        <v>0.44533853378909322</v>
      </c>
    </row>
    <row r="64" spans="1:12" x14ac:dyDescent="0.25">
      <c r="A64" s="1">
        <v>11</v>
      </c>
      <c r="B64" s="1">
        <v>2</v>
      </c>
      <c r="C64" s="1">
        <v>2</v>
      </c>
      <c r="D64" s="1">
        <v>192</v>
      </c>
      <c r="E64" s="1">
        <v>0.55000000000000004</v>
      </c>
      <c r="F64" s="1">
        <v>0.1004</v>
      </c>
      <c r="G64" s="1">
        <v>18.78</v>
      </c>
      <c r="H64" s="1">
        <v>0.42420000000000002</v>
      </c>
      <c r="I64" s="1">
        <v>1.7213000000000001</v>
      </c>
      <c r="K64" s="2">
        <f t="shared" si="0"/>
        <v>0.40661999999999998</v>
      </c>
      <c r="L64" s="2">
        <f t="shared" si="1"/>
        <v>0.4444531689107849</v>
      </c>
    </row>
    <row r="65" spans="1:12" x14ac:dyDescent="0.25">
      <c r="A65" s="1">
        <v>11</v>
      </c>
      <c r="B65" s="1">
        <v>3</v>
      </c>
      <c r="C65" s="1">
        <v>3</v>
      </c>
      <c r="D65" s="1">
        <v>102</v>
      </c>
      <c r="E65" s="1">
        <v>0.85</v>
      </c>
      <c r="F65" s="1">
        <v>8.6400000000000005E-2</v>
      </c>
      <c r="G65" s="1">
        <v>8.3800000000000008</v>
      </c>
      <c r="H65" s="1">
        <v>0.38350000000000001</v>
      </c>
      <c r="I65" s="1">
        <v>0.86829999999999996</v>
      </c>
      <c r="K65" s="2">
        <f t="shared" si="0"/>
        <v>0.34992000000000001</v>
      </c>
      <c r="L65" s="2">
        <f t="shared" si="1"/>
        <v>0.38247762742920138</v>
      </c>
    </row>
    <row r="66" spans="1:12" x14ac:dyDescent="0.25">
      <c r="A66" s="1">
        <v>11</v>
      </c>
      <c r="B66" s="1">
        <v>4</v>
      </c>
      <c r="C66" s="1">
        <v>4</v>
      </c>
      <c r="D66" s="1">
        <v>57</v>
      </c>
      <c r="E66" s="1">
        <v>0.55000000000000004</v>
      </c>
      <c r="F66" s="1">
        <v>8.43E-2</v>
      </c>
      <c r="G66" s="1">
        <v>4.3840000000000003</v>
      </c>
      <c r="H66" s="1">
        <v>0.2341</v>
      </c>
      <c r="I66" s="1">
        <v>0.25559999999999999</v>
      </c>
      <c r="K66" s="2">
        <f t="shared" si="0"/>
        <v>0.34141499999999997</v>
      </c>
      <c r="L66" s="2">
        <f t="shared" si="1"/>
        <v>0.37318129620696383</v>
      </c>
    </row>
    <row r="67" spans="1:12" x14ac:dyDescent="0.25">
      <c r="A67" s="1">
        <v>11</v>
      </c>
      <c r="B67" s="1">
        <v>5</v>
      </c>
      <c r="C67" s="1">
        <v>5</v>
      </c>
      <c r="D67" s="1">
        <v>57</v>
      </c>
      <c r="E67" s="1">
        <v>0.95</v>
      </c>
      <c r="F67" s="1">
        <v>8.4699999999999998E-2</v>
      </c>
      <c r="G67" s="1">
        <v>4.4029999999999996</v>
      </c>
      <c r="H67" s="1">
        <v>0.36959999999999998</v>
      </c>
      <c r="I67" s="1">
        <v>0.37580000000000002</v>
      </c>
      <c r="K67" s="2">
        <f t="shared" ref="K67:K130" si="2">F67*4.05</f>
        <v>0.34303499999999998</v>
      </c>
      <c r="L67" s="2">
        <f t="shared" ref="L67:L130" si="3">K67/SQRT(0.837)</f>
        <v>0.37495202596358052</v>
      </c>
    </row>
    <row r="68" spans="1:12" x14ac:dyDescent="0.25">
      <c r="A68" s="1">
        <v>11</v>
      </c>
      <c r="B68" s="1">
        <v>6</v>
      </c>
      <c r="C68" s="1">
        <v>6</v>
      </c>
      <c r="D68" s="1">
        <v>102</v>
      </c>
      <c r="E68" s="1">
        <v>0.95</v>
      </c>
      <c r="F68" s="1">
        <v>9.6699999999999994E-2</v>
      </c>
      <c r="G68" s="1">
        <v>9.3819999999999997</v>
      </c>
      <c r="H68" s="1">
        <v>0.4325</v>
      </c>
      <c r="I68" s="1">
        <v>0.92249999999999999</v>
      </c>
      <c r="K68" s="2">
        <f t="shared" si="2"/>
        <v>0.39163499999999996</v>
      </c>
      <c r="L68" s="2">
        <f t="shared" si="3"/>
        <v>0.42807391866208067</v>
      </c>
    </row>
    <row r="69" spans="1:12" x14ac:dyDescent="0.25">
      <c r="A69" s="1">
        <v>12</v>
      </c>
      <c r="B69" s="1">
        <v>1</v>
      </c>
      <c r="C69" s="1">
        <v>1</v>
      </c>
      <c r="D69" s="1">
        <v>132</v>
      </c>
      <c r="E69" s="1">
        <v>0.75</v>
      </c>
      <c r="F69" s="1">
        <v>8.8999999999999996E-2</v>
      </c>
      <c r="G69" s="1">
        <v>11.301</v>
      </c>
      <c r="H69" s="1">
        <v>0.36470000000000002</v>
      </c>
      <c r="I69" s="1">
        <v>1.0109999999999999</v>
      </c>
      <c r="K69" s="2">
        <f t="shared" si="2"/>
        <v>0.36044999999999999</v>
      </c>
      <c r="L69" s="2">
        <f t="shared" si="3"/>
        <v>0.39398737084720975</v>
      </c>
    </row>
    <row r="70" spans="1:12" x14ac:dyDescent="0.25">
      <c r="A70" s="1">
        <v>12</v>
      </c>
      <c r="B70" s="1">
        <v>2</v>
      </c>
      <c r="C70" s="1">
        <v>2</v>
      </c>
      <c r="D70" s="1">
        <v>102</v>
      </c>
      <c r="E70" s="1">
        <v>1.05</v>
      </c>
      <c r="F70" s="1">
        <v>0.1051</v>
      </c>
      <c r="G70" s="1">
        <v>10.198</v>
      </c>
      <c r="H70" s="1">
        <v>0.98650000000000004</v>
      </c>
      <c r="I70" s="1">
        <v>2.1278999999999999</v>
      </c>
      <c r="K70" s="2">
        <f t="shared" si="2"/>
        <v>0.42565499999999995</v>
      </c>
      <c r="L70" s="2">
        <f t="shared" si="3"/>
        <v>0.46525924355103082</v>
      </c>
    </row>
    <row r="71" spans="1:12" x14ac:dyDescent="0.25">
      <c r="A71" s="1">
        <v>12</v>
      </c>
      <c r="B71" s="1">
        <v>3</v>
      </c>
      <c r="C71" s="1">
        <v>3</v>
      </c>
      <c r="D71" s="1">
        <v>57</v>
      </c>
      <c r="E71" s="1">
        <v>0.55000000000000004</v>
      </c>
      <c r="F71" s="1">
        <v>5.4800000000000001E-2</v>
      </c>
      <c r="G71" s="1">
        <v>2.847</v>
      </c>
      <c r="H71" s="1">
        <v>0.32250000000000001</v>
      </c>
      <c r="I71" s="1">
        <v>0.37169999999999997</v>
      </c>
      <c r="K71" s="2">
        <f t="shared" si="2"/>
        <v>0.22194</v>
      </c>
      <c r="L71" s="2">
        <f t="shared" si="3"/>
        <v>0.24258997665648421</v>
      </c>
    </row>
    <row r="72" spans="1:12" x14ac:dyDescent="0.25">
      <c r="A72" s="1">
        <v>12</v>
      </c>
      <c r="B72" s="1">
        <v>4</v>
      </c>
      <c r="C72" s="1">
        <v>4</v>
      </c>
      <c r="D72" s="1">
        <v>252</v>
      </c>
      <c r="E72" s="1">
        <v>0.75</v>
      </c>
      <c r="F72" s="1">
        <v>9.0700000000000003E-2</v>
      </c>
      <c r="G72" s="1">
        <v>22.393999999999998</v>
      </c>
      <c r="H72" s="1">
        <v>0.53549999999999998</v>
      </c>
      <c r="I72" s="1">
        <v>3.0621999999999998</v>
      </c>
      <c r="K72" s="2">
        <f t="shared" si="2"/>
        <v>0.36733500000000002</v>
      </c>
      <c r="L72" s="2">
        <f t="shared" si="3"/>
        <v>0.40151297231283062</v>
      </c>
    </row>
    <row r="73" spans="1:12" x14ac:dyDescent="0.25">
      <c r="A73" s="1">
        <v>12</v>
      </c>
      <c r="B73" s="1">
        <v>5</v>
      </c>
      <c r="C73" s="1">
        <v>5</v>
      </c>
      <c r="D73" s="1">
        <v>72</v>
      </c>
      <c r="E73" s="1">
        <v>0.85</v>
      </c>
      <c r="F73" s="1">
        <v>9.5000000000000001E-2</v>
      </c>
      <c r="G73" s="1">
        <v>6.3680000000000003</v>
      </c>
      <c r="H73" s="1">
        <v>0.44650000000000001</v>
      </c>
      <c r="I73" s="1">
        <v>0.56850000000000001</v>
      </c>
      <c r="K73" s="2">
        <f t="shared" si="2"/>
        <v>0.38474999999999998</v>
      </c>
      <c r="L73" s="2">
        <f t="shared" si="3"/>
        <v>0.42054831719645985</v>
      </c>
    </row>
    <row r="74" spans="1:12" x14ac:dyDescent="0.25">
      <c r="A74" s="1">
        <v>12</v>
      </c>
      <c r="B74" s="1">
        <v>6</v>
      </c>
      <c r="C74" s="1">
        <v>6</v>
      </c>
      <c r="D74" s="1">
        <v>192</v>
      </c>
      <c r="E74" s="1">
        <v>0.65</v>
      </c>
      <c r="F74" s="1">
        <v>6.7599999999999993E-2</v>
      </c>
      <c r="G74" s="1">
        <v>12.641999999999999</v>
      </c>
      <c r="H74" s="1">
        <v>0.32329999999999998</v>
      </c>
      <c r="I74" s="1">
        <v>1.3167</v>
      </c>
      <c r="K74" s="2">
        <f t="shared" si="2"/>
        <v>0.27377999999999997</v>
      </c>
      <c r="L74" s="2">
        <f t="shared" si="3"/>
        <v>0.29925332886821771</v>
      </c>
    </row>
    <row r="75" spans="1:12" x14ac:dyDescent="0.25">
      <c r="A75" s="1">
        <v>13</v>
      </c>
      <c r="B75" s="1">
        <v>1</v>
      </c>
      <c r="C75" s="1">
        <v>1</v>
      </c>
      <c r="D75" s="1">
        <v>132</v>
      </c>
      <c r="E75" s="1">
        <v>0.75</v>
      </c>
      <c r="F75" s="1">
        <v>9.7699999999999995E-2</v>
      </c>
      <c r="G75" s="1">
        <v>12.412000000000001</v>
      </c>
      <c r="H75" s="1">
        <v>0.36609999999999998</v>
      </c>
      <c r="I75" s="1">
        <v>1.0673999999999999</v>
      </c>
      <c r="K75" s="2">
        <f t="shared" si="2"/>
        <v>0.39568499999999995</v>
      </c>
      <c r="L75" s="2">
        <f t="shared" si="3"/>
        <v>0.43250074305362235</v>
      </c>
    </row>
    <row r="76" spans="1:12" x14ac:dyDescent="0.25">
      <c r="A76" s="1">
        <v>13</v>
      </c>
      <c r="B76" s="1">
        <v>2</v>
      </c>
      <c r="C76" s="1">
        <v>2</v>
      </c>
      <c r="D76" s="1">
        <v>72</v>
      </c>
      <c r="E76" s="1">
        <v>0.85</v>
      </c>
      <c r="F76" s="1">
        <v>0.1144</v>
      </c>
      <c r="G76" s="1">
        <v>7.6639999999999997</v>
      </c>
      <c r="H76" s="1">
        <v>0.41739999999999999</v>
      </c>
      <c r="I76" s="1">
        <v>0.60819999999999996</v>
      </c>
      <c r="K76" s="2">
        <f t="shared" si="2"/>
        <v>0.46332000000000001</v>
      </c>
      <c r="L76" s="2">
        <f t="shared" si="3"/>
        <v>0.50642871039236848</v>
      </c>
    </row>
    <row r="77" spans="1:12" x14ac:dyDescent="0.25">
      <c r="A77" s="1">
        <v>13</v>
      </c>
      <c r="B77" s="1">
        <v>3</v>
      </c>
      <c r="C77" s="1">
        <v>3</v>
      </c>
      <c r="D77" s="1">
        <v>102</v>
      </c>
      <c r="E77" s="1">
        <v>0.55000000000000004</v>
      </c>
      <c r="F77" s="1">
        <v>8.5800000000000001E-2</v>
      </c>
      <c r="G77" s="1">
        <v>8.3209999999999997</v>
      </c>
      <c r="H77" s="1">
        <v>0.2291</v>
      </c>
      <c r="I77" s="1">
        <v>0.4234</v>
      </c>
      <c r="K77" s="2">
        <f t="shared" si="2"/>
        <v>0.34748999999999997</v>
      </c>
      <c r="L77" s="2">
        <f t="shared" si="3"/>
        <v>0.37982153279427633</v>
      </c>
    </row>
    <row r="78" spans="1:12" x14ac:dyDescent="0.25">
      <c r="A78" s="1">
        <v>13</v>
      </c>
      <c r="B78" s="1">
        <v>4</v>
      </c>
      <c r="C78" s="1">
        <v>4</v>
      </c>
      <c r="D78" s="1">
        <v>57</v>
      </c>
      <c r="E78" s="1">
        <v>1.05</v>
      </c>
      <c r="F78" s="1">
        <v>0.10059999999999999</v>
      </c>
      <c r="G78" s="1">
        <v>5.2329999999999997</v>
      </c>
      <c r="H78" s="1">
        <v>0.52039999999999997</v>
      </c>
      <c r="I78" s="1">
        <v>0.54010000000000002</v>
      </c>
      <c r="K78" s="2">
        <f t="shared" si="2"/>
        <v>0.40742999999999996</v>
      </c>
      <c r="L78" s="2">
        <f t="shared" si="3"/>
        <v>0.44533853378909322</v>
      </c>
    </row>
    <row r="79" spans="1:12" x14ac:dyDescent="0.25">
      <c r="A79" s="1">
        <v>13</v>
      </c>
      <c r="B79" s="1">
        <v>5</v>
      </c>
      <c r="C79" s="1">
        <v>5</v>
      </c>
      <c r="D79" s="1">
        <v>192</v>
      </c>
      <c r="E79" s="1">
        <v>0.65</v>
      </c>
      <c r="F79" s="1">
        <v>9.4100000000000003E-2</v>
      </c>
      <c r="G79" s="1">
        <v>17.588000000000001</v>
      </c>
      <c r="H79" s="1">
        <v>0.1668</v>
      </c>
      <c r="I79" s="1">
        <v>0.6139</v>
      </c>
      <c r="K79" s="2">
        <f t="shared" si="2"/>
        <v>0.38110499999999997</v>
      </c>
      <c r="L79" s="2">
        <f t="shared" si="3"/>
        <v>0.4165641752440723</v>
      </c>
    </row>
    <row r="80" spans="1:12" x14ac:dyDescent="0.25">
      <c r="A80" s="1">
        <v>13</v>
      </c>
      <c r="B80" s="1">
        <v>6</v>
      </c>
      <c r="C80" s="1">
        <v>6</v>
      </c>
      <c r="D80" s="1">
        <v>57</v>
      </c>
      <c r="E80" s="1">
        <v>0.95</v>
      </c>
      <c r="F80" s="1">
        <v>0.1009</v>
      </c>
      <c r="G80" s="1">
        <v>5.2469999999999999</v>
      </c>
      <c r="H80" s="1">
        <v>0.3463</v>
      </c>
      <c r="I80" s="1">
        <v>0.37519999999999998</v>
      </c>
      <c r="K80" s="2">
        <f t="shared" si="2"/>
        <v>0.40864499999999998</v>
      </c>
      <c r="L80" s="2">
        <f t="shared" si="3"/>
        <v>0.44666658110655577</v>
      </c>
    </row>
    <row r="81" spans="1:12" x14ac:dyDescent="0.25">
      <c r="A81" s="1">
        <v>14</v>
      </c>
      <c r="B81" s="1">
        <v>1</v>
      </c>
      <c r="C81" s="1">
        <v>1</v>
      </c>
      <c r="D81" s="1">
        <v>132</v>
      </c>
      <c r="E81" s="1">
        <v>0.55000000000000004</v>
      </c>
      <c r="F81" s="1">
        <v>7.9399999999999998E-2</v>
      </c>
      <c r="G81" s="1">
        <v>10.085000000000001</v>
      </c>
      <c r="H81" s="1">
        <v>0.2742</v>
      </c>
      <c r="I81" s="1">
        <v>0.73199999999999998</v>
      </c>
      <c r="K81" s="2">
        <f t="shared" si="2"/>
        <v>0.32156999999999997</v>
      </c>
      <c r="L81" s="2">
        <f t="shared" si="3"/>
        <v>0.3514898566884096</v>
      </c>
    </row>
    <row r="82" spans="1:12" x14ac:dyDescent="0.25">
      <c r="A82" s="1">
        <v>14</v>
      </c>
      <c r="B82" s="1">
        <v>2</v>
      </c>
      <c r="C82" s="1">
        <v>2</v>
      </c>
      <c r="D82" s="1">
        <v>252</v>
      </c>
      <c r="E82" s="1">
        <v>0.85</v>
      </c>
      <c r="F82" s="1">
        <v>8.6099999999999996E-2</v>
      </c>
      <c r="G82" s="1">
        <v>21.257999999999999</v>
      </c>
      <c r="H82" s="1">
        <v>0.2737</v>
      </c>
      <c r="I82" s="1">
        <v>1.4770000000000001</v>
      </c>
      <c r="K82" s="2">
        <f t="shared" si="2"/>
        <v>0.34870499999999999</v>
      </c>
      <c r="L82" s="2">
        <f t="shared" si="3"/>
        <v>0.38114958011173888</v>
      </c>
    </row>
    <row r="83" spans="1:12" x14ac:dyDescent="0.25">
      <c r="A83" s="1">
        <v>14</v>
      </c>
      <c r="B83" s="1">
        <v>3</v>
      </c>
      <c r="C83" s="1">
        <v>3</v>
      </c>
      <c r="D83" s="1">
        <v>57</v>
      </c>
      <c r="E83" s="1">
        <v>0.65</v>
      </c>
      <c r="F83" s="1">
        <v>7.2599999999999998E-2</v>
      </c>
      <c r="G83" s="1">
        <v>3.7749999999999999</v>
      </c>
      <c r="H83" s="1">
        <v>0.18459999999999999</v>
      </c>
      <c r="I83" s="1">
        <v>0.19939999999999999</v>
      </c>
      <c r="K83" s="2">
        <f t="shared" si="2"/>
        <v>0.29402999999999996</v>
      </c>
      <c r="L83" s="2">
        <f t="shared" si="3"/>
        <v>0.32138745082592612</v>
      </c>
    </row>
    <row r="84" spans="1:12" x14ac:dyDescent="0.25">
      <c r="A84" s="1">
        <v>14</v>
      </c>
      <c r="B84" s="1">
        <v>4</v>
      </c>
      <c r="C84" s="1">
        <v>4</v>
      </c>
      <c r="D84" s="1">
        <v>132</v>
      </c>
      <c r="E84" s="1">
        <v>0.75</v>
      </c>
      <c r="F84" s="1">
        <v>9.9400000000000002E-2</v>
      </c>
      <c r="G84" s="1">
        <v>12.63</v>
      </c>
      <c r="H84" s="1">
        <v>0.32319999999999999</v>
      </c>
      <c r="I84" s="1">
        <v>0.87060000000000004</v>
      </c>
      <c r="K84" s="2">
        <f t="shared" si="2"/>
        <v>0.40256999999999998</v>
      </c>
      <c r="L84" s="2">
        <f t="shared" si="3"/>
        <v>0.44002634451924322</v>
      </c>
    </row>
    <row r="85" spans="1:12" x14ac:dyDescent="0.25">
      <c r="A85" s="1">
        <v>14</v>
      </c>
      <c r="B85" s="1">
        <v>5</v>
      </c>
      <c r="C85" s="1">
        <v>5</v>
      </c>
      <c r="D85" s="1">
        <v>252</v>
      </c>
      <c r="E85" s="1">
        <v>0.55000000000000004</v>
      </c>
      <c r="F85" s="1">
        <v>0.1076</v>
      </c>
      <c r="G85" s="1">
        <v>26.587</v>
      </c>
      <c r="H85" s="1">
        <v>0.41870000000000002</v>
      </c>
      <c r="I85" s="1">
        <v>2.1215000000000002</v>
      </c>
      <c r="K85" s="2">
        <f t="shared" si="2"/>
        <v>0.43578</v>
      </c>
      <c r="L85" s="2">
        <f t="shared" si="3"/>
        <v>0.47632630452988506</v>
      </c>
    </row>
    <row r="86" spans="1:12" x14ac:dyDescent="0.25">
      <c r="A86" s="1">
        <v>14</v>
      </c>
      <c r="B86" s="1">
        <v>6</v>
      </c>
      <c r="C86" s="1">
        <v>6</v>
      </c>
      <c r="D86" s="1">
        <v>102</v>
      </c>
      <c r="E86" s="1">
        <v>0.95</v>
      </c>
      <c r="F86" s="1">
        <v>0.1091</v>
      </c>
      <c r="G86" s="1">
        <v>10.579000000000001</v>
      </c>
      <c r="H86" s="1">
        <v>0.3634</v>
      </c>
      <c r="I86" s="1">
        <v>0.7419</v>
      </c>
      <c r="K86" s="2">
        <f t="shared" si="2"/>
        <v>0.441855</v>
      </c>
      <c r="L86" s="2">
        <f t="shared" si="3"/>
        <v>0.48296654111719756</v>
      </c>
    </row>
    <row r="87" spans="1:12" x14ac:dyDescent="0.25">
      <c r="A87" s="1">
        <v>15</v>
      </c>
      <c r="B87" s="1">
        <v>1</v>
      </c>
      <c r="C87" s="1">
        <v>1</v>
      </c>
      <c r="D87" s="1">
        <v>132</v>
      </c>
      <c r="E87" s="1">
        <v>0.75</v>
      </c>
      <c r="F87" s="1">
        <v>8.2799999999999999E-2</v>
      </c>
      <c r="G87" s="1">
        <v>10.513</v>
      </c>
      <c r="H87" s="1">
        <v>0.58420000000000005</v>
      </c>
      <c r="I87" s="1">
        <v>1.7258</v>
      </c>
      <c r="K87" s="2">
        <f t="shared" si="2"/>
        <v>0.33533999999999997</v>
      </c>
      <c r="L87" s="2">
        <f t="shared" si="3"/>
        <v>0.36654105961965128</v>
      </c>
    </row>
    <row r="88" spans="1:12" x14ac:dyDescent="0.25">
      <c r="A88" s="1">
        <v>15</v>
      </c>
      <c r="B88" s="1">
        <v>2</v>
      </c>
      <c r="C88" s="1">
        <v>2</v>
      </c>
      <c r="D88" s="1">
        <v>252</v>
      </c>
      <c r="E88" s="1">
        <v>1.05</v>
      </c>
      <c r="F88" s="1">
        <v>8.5699999999999998E-2</v>
      </c>
      <c r="G88" s="1">
        <v>21.158999999999999</v>
      </c>
      <c r="H88" s="1">
        <v>0.47249999999999998</v>
      </c>
      <c r="I88" s="1">
        <v>2.5445000000000002</v>
      </c>
      <c r="K88" s="2">
        <f t="shared" si="2"/>
        <v>0.34708499999999998</v>
      </c>
      <c r="L88" s="2">
        <f t="shared" si="3"/>
        <v>0.3793788503551222</v>
      </c>
    </row>
    <row r="89" spans="1:12" x14ac:dyDescent="0.25">
      <c r="A89" s="1">
        <v>15</v>
      </c>
      <c r="B89" s="1">
        <v>3</v>
      </c>
      <c r="C89" s="1">
        <v>3</v>
      </c>
      <c r="D89" s="1">
        <v>57</v>
      </c>
      <c r="E89" s="1">
        <v>0.55000000000000004</v>
      </c>
      <c r="F89" s="1">
        <v>7.22E-2</v>
      </c>
      <c r="G89" s="1">
        <v>3.7549999999999999</v>
      </c>
      <c r="H89" s="1">
        <v>0.24</v>
      </c>
      <c r="I89" s="1">
        <v>0.23</v>
      </c>
      <c r="K89" s="2">
        <f t="shared" si="2"/>
        <v>0.29241</v>
      </c>
      <c r="L89" s="2">
        <f t="shared" si="3"/>
        <v>0.3196167210693095</v>
      </c>
    </row>
    <row r="90" spans="1:12" x14ac:dyDescent="0.25">
      <c r="A90" s="1">
        <v>15</v>
      </c>
      <c r="B90" s="1">
        <v>4</v>
      </c>
      <c r="C90" s="1">
        <v>4</v>
      </c>
      <c r="D90" s="1">
        <v>72</v>
      </c>
      <c r="E90" s="1">
        <v>0.75</v>
      </c>
      <c r="F90" s="1">
        <v>9.3600000000000003E-2</v>
      </c>
      <c r="G90" s="1">
        <v>6.2690000000000001</v>
      </c>
      <c r="H90" s="1">
        <v>0.40699999999999997</v>
      </c>
      <c r="I90" s="1">
        <v>0.57569999999999999</v>
      </c>
      <c r="K90" s="2">
        <f t="shared" si="2"/>
        <v>0.37907999999999997</v>
      </c>
      <c r="L90" s="2">
        <f t="shared" si="3"/>
        <v>0.41435076304830148</v>
      </c>
    </row>
    <row r="91" spans="1:12" x14ac:dyDescent="0.25">
      <c r="A91" s="1">
        <v>15</v>
      </c>
      <c r="B91" s="1">
        <v>5</v>
      </c>
      <c r="C91" s="1">
        <v>5</v>
      </c>
      <c r="D91" s="1">
        <v>72</v>
      </c>
      <c r="E91" s="1">
        <v>0.95</v>
      </c>
      <c r="F91" s="1">
        <v>0.1135</v>
      </c>
      <c r="G91" s="1">
        <v>7.6059999999999999</v>
      </c>
      <c r="H91" s="1">
        <v>0.57769999999999999</v>
      </c>
      <c r="I91" s="1">
        <v>0.89629999999999999</v>
      </c>
      <c r="K91" s="2">
        <f t="shared" si="2"/>
        <v>0.459675</v>
      </c>
      <c r="L91" s="2">
        <f t="shared" si="3"/>
        <v>0.50244456843998098</v>
      </c>
    </row>
    <row r="92" spans="1:12" x14ac:dyDescent="0.25">
      <c r="A92" s="1">
        <v>15</v>
      </c>
      <c r="B92" s="1">
        <v>6</v>
      </c>
      <c r="C92" s="1">
        <v>6</v>
      </c>
      <c r="D92" s="1">
        <v>192</v>
      </c>
      <c r="E92" s="1">
        <v>0.85</v>
      </c>
      <c r="F92" s="1">
        <v>9.1600000000000001E-2</v>
      </c>
      <c r="G92" s="1">
        <v>17.126999999999999</v>
      </c>
      <c r="H92" s="1">
        <v>0.41959999999999997</v>
      </c>
      <c r="I92" s="1">
        <v>1.5748</v>
      </c>
      <c r="K92" s="2">
        <f t="shared" si="2"/>
        <v>0.37097999999999998</v>
      </c>
      <c r="L92" s="2">
        <f t="shared" si="3"/>
        <v>0.40549711426521812</v>
      </c>
    </row>
    <row r="93" spans="1:12" x14ac:dyDescent="0.25">
      <c r="A93" s="1">
        <v>16</v>
      </c>
      <c r="B93" s="1">
        <v>1</v>
      </c>
      <c r="C93" s="1">
        <v>1</v>
      </c>
      <c r="D93" s="1">
        <v>132</v>
      </c>
      <c r="E93" s="1">
        <v>0.65</v>
      </c>
      <c r="F93" s="1">
        <v>7.0499999999999993E-2</v>
      </c>
      <c r="G93" s="1">
        <v>8.952</v>
      </c>
      <c r="H93" s="1">
        <v>0.26869999999999999</v>
      </c>
      <c r="I93" s="1">
        <v>0.67179999999999995</v>
      </c>
      <c r="K93" s="2">
        <f t="shared" si="2"/>
        <v>0.28552499999999997</v>
      </c>
      <c r="L93" s="2">
        <f t="shared" si="3"/>
        <v>0.31209111960368863</v>
      </c>
    </row>
    <row r="94" spans="1:12" x14ac:dyDescent="0.25">
      <c r="A94" s="1">
        <v>16</v>
      </c>
      <c r="B94" s="1">
        <v>2</v>
      </c>
      <c r="C94" s="1">
        <v>2</v>
      </c>
      <c r="D94" s="1">
        <v>102</v>
      </c>
      <c r="E94" s="1">
        <v>0.65</v>
      </c>
      <c r="F94" s="1">
        <v>8.1500000000000003E-2</v>
      </c>
      <c r="G94" s="1">
        <v>7.9050000000000002</v>
      </c>
      <c r="H94" s="1">
        <v>0.1966</v>
      </c>
      <c r="I94" s="1">
        <v>0.36880000000000002</v>
      </c>
      <c r="K94" s="2">
        <f t="shared" si="2"/>
        <v>0.33007500000000001</v>
      </c>
      <c r="L94" s="2">
        <f t="shared" si="3"/>
        <v>0.36078618791064715</v>
      </c>
    </row>
    <row r="95" spans="1:12" x14ac:dyDescent="0.25">
      <c r="A95" s="1">
        <v>16</v>
      </c>
      <c r="B95" s="1">
        <v>3</v>
      </c>
      <c r="C95" s="1">
        <v>3</v>
      </c>
      <c r="D95" s="1">
        <v>102</v>
      </c>
      <c r="E95" s="1">
        <v>0.85</v>
      </c>
      <c r="F95" s="1">
        <v>7.7100000000000002E-2</v>
      </c>
      <c r="G95" s="1">
        <v>7.4779999999999998</v>
      </c>
      <c r="H95" s="1">
        <v>0.34179999999999999</v>
      </c>
      <c r="I95" s="1">
        <v>0.70269999999999999</v>
      </c>
      <c r="K95" s="2">
        <f t="shared" si="2"/>
        <v>0.312255</v>
      </c>
      <c r="L95" s="2">
        <f t="shared" si="3"/>
        <v>0.34130816058786373</v>
      </c>
    </row>
    <row r="96" spans="1:12" x14ac:dyDescent="0.25">
      <c r="A96" s="1">
        <v>16</v>
      </c>
      <c r="B96" s="1">
        <v>4</v>
      </c>
      <c r="C96" s="1">
        <v>4</v>
      </c>
      <c r="D96" s="1">
        <v>132</v>
      </c>
      <c r="E96" s="1">
        <v>0.75</v>
      </c>
      <c r="F96" s="1">
        <v>8.5199999999999998E-2</v>
      </c>
      <c r="G96" s="1">
        <v>10.817</v>
      </c>
      <c r="H96" s="1">
        <v>0.28399999999999997</v>
      </c>
      <c r="I96" s="1">
        <v>0.87029999999999996</v>
      </c>
      <c r="K96" s="2">
        <f t="shared" si="2"/>
        <v>0.34505999999999998</v>
      </c>
      <c r="L96" s="2">
        <f t="shared" si="3"/>
        <v>0.37716543815935133</v>
      </c>
    </row>
    <row r="97" spans="1:12" x14ac:dyDescent="0.25">
      <c r="A97" s="1">
        <v>16</v>
      </c>
      <c r="B97" s="1">
        <v>5</v>
      </c>
      <c r="C97" s="1">
        <v>5</v>
      </c>
      <c r="D97" s="1">
        <v>132</v>
      </c>
      <c r="E97" s="1">
        <v>0.95</v>
      </c>
      <c r="F97" s="1">
        <v>9.5600000000000004E-2</v>
      </c>
      <c r="G97" s="1">
        <v>12.14</v>
      </c>
      <c r="H97" s="1">
        <v>0.35449999999999998</v>
      </c>
      <c r="I97" s="1">
        <v>0.96650000000000003</v>
      </c>
      <c r="K97" s="2">
        <f t="shared" si="2"/>
        <v>0.38718000000000002</v>
      </c>
      <c r="L97" s="2">
        <f t="shared" si="3"/>
        <v>0.42320441183138491</v>
      </c>
    </row>
    <row r="98" spans="1:12" x14ac:dyDescent="0.25">
      <c r="A98" s="1">
        <v>16</v>
      </c>
      <c r="B98" s="1">
        <v>6</v>
      </c>
      <c r="C98" s="1">
        <v>6</v>
      </c>
      <c r="D98" s="1">
        <v>57</v>
      </c>
      <c r="E98" s="1">
        <v>0.85</v>
      </c>
      <c r="F98" s="1">
        <v>8.77E-2</v>
      </c>
      <c r="G98" s="1">
        <v>4.5599999999999996</v>
      </c>
      <c r="H98" s="1">
        <v>0.39119999999999999</v>
      </c>
      <c r="I98" s="1">
        <v>0.42759999999999998</v>
      </c>
      <c r="K98" s="2">
        <f t="shared" si="2"/>
        <v>0.35518499999999997</v>
      </c>
      <c r="L98" s="2">
        <f t="shared" si="3"/>
        <v>0.38823249913820557</v>
      </c>
    </row>
    <row r="99" spans="1:12" x14ac:dyDescent="0.25">
      <c r="A99" s="1">
        <v>17</v>
      </c>
      <c r="B99" s="1">
        <v>1</v>
      </c>
      <c r="C99" s="1">
        <v>1</v>
      </c>
      <c r="D99" s="1">
        <v>132</v>
      </c>
      <c r="E99" s="1">
        <v>0.75</v>
      </c>
      <c r="F99" s="1">
        <v>7.2800000000000004E-2</v>
      </c>
      <c r="G99" s="1">
        <v>9.2449999999999992</v>
      </c>
      <c r="H99" s="1">
        <v>0.32200000000000001</v>
      </c>
      <c r="I99" s="1">
        <v>0.89039999999999997</v>
      </c>
      <c r="K99" s="2">
        <f t="shared" si="2"/>
        <v>0.29483999999999999</v>
      </c>
      <c r="L99" s="2">
        <f t="shared" si="3"/>
        <v>0.32227281570423449</v>
      </c>
    </row>
    <row r="100" spans="1:12" x14ac:dyDescent="0.25">
      <c r="A100" s="1">
        <v>17</v>
      </c>
      <c r="B100" s="1">
        <v>2</v>
      </c>
      <c r="C100" s="1">
        <v>2</v>
      </c>
      <c r="D100" s="1">
        <v>57</v>
      </c>
      <c r="E100" s="1">
        <v>0.75</v>
      </c>
      <c r="F100" s="1">
        <v>8.1600000000000006E-2</v>
      </c>
      <c r="G100" s="1">
        <v>4.2450000000000001</v>
      </c>
      <c r="H100" s="1">
        <v>0.32619999999999999</v>
      </c>
      <c r="I100" s="1">
        <v>0.376</v>
      </c>
      <c r="K100" s="2">
        <f t="shared" si="2"/>
        <v>0.33048</v>
      </c>
      <c r="L100" s="2">
        <f t="shared" si="3"/>
        <v>0.36122887034980128</v>
      </c>
    </row>
    <row r="101" spans="1:12" x14ac:dyDescent="0.25">
      <c r="A101" s="1">
        <v>17</v>
      </c>
      <c r="B101" s="1">
        <v>3</v>
      </c>
      <c r="C101" s="1">
        <v>3</v>
      </c>
      <c r="D101" s="1">
        <v>192</v>
      </c>
      <c r="E101" s="1">
        <v>0.55000000000000004</v>
      </c>
      <c r="F101" s="1">
        <v>6.3600000000000004E-2</v>
      </c>
      <c r="G101" s="1">
        <v>11.898999999999999</v>
      </c>
      <c r="H101" s="1">
        <v>0.25700000000000001</v>
      </c>
      <c r="I101" s="1">
        <v>1.0218</v>
      </c>
      <c r="K101" s="2">
        <f t="shared" si="2"/>
        <v>0.25758000000000003</v>
      </c>
      <c r="L101" s="2">
        <f t="shared" si="3"/>
        <v>0.28154603130205108</v>
      </c>
    </row>
    <row r="102" spans="1:12" x14ac:dyDescent="0.25">
      <c r="A102" s="1">
        <v>17</v>
      </c>
      <c r="B102" s="1">
        <v>4</v>
      </c>
      <c r="C102" s="1">
        <v>4</v>
      </c>
      <c r="D102" s="1">
        <v>72</v>
      </c>
      <c r="E102" s="1">
        <v>0.65</v>
      </c>
      <c r="F102" s="1">
        <v>8.48E-2</v>
      </c>
      <c r="G102" s="1">
        <v>5.6840000000000002</v>
      </c>
      <c r="H102" s="1">
        <v>0.2868</v>
      </c>
      <c r="I102" s="1">
        <v>0.43440000000000001</v>
      </c>
      <c r="K102" s="2">
        <f t="shared" si="2"/>
        <v>0.34343999999999997</v>
      </c>
      <c r="L102" s="2">
        <f t="shared" si="3"/>
        <v>0.37539470840273464</v>
      </c>
    </row>
    <row r="103" spans="1:12" x14ac:dyDescent="0.25">
      <c r="A103" s="1">
        <v>17</v>
      </c>
      <c r="B103" s="1">
        <v>5</v>
      </c>
      <c r="C103" s="1">
        <v>5</v>
      </c>
      <c r="D103" s="1">
        <v>132</v>
      </c>
      <c r="E103" s="1">
        <v>1.05</v>
      </c>
      <c r="F103" s="1">
        <v>0.11799999999999999</v>
      </c>
      <c r="G103" s="1">
        <v>14.99</v>
      </c>
      <c r="H103" s="1">
        <v>0.75070000000000003</v>
      </c>
      <c r="I103" s="1">
        <v>1.8299000000000001</v>
      </c>
      <c r="K103" s="2">
        <f t="shared" si="2"/>
        <v>0.47789999999999994</v>
      </c>
      <c r="L103" s="2">
        <f t="shared" si="3"/>
        <v>0.52236527820191847</v>
      </c>
    </row>
    <row r="104" spans="1:12" x14ac:dyDescent="0.25">
      <c r="A104" s="1">
        <v>17</v>
      </c>
      <c r="B104" s="1">
        <v>6</v>
      </c>
      <c r="C104" s="1">
        <v>6</v>
      </c>
      <c r="D104" s="1">
        <v>132</v>
      </c>
      <c r="E104" s="1">
        <v>0.85</v>
      </c>
      <c r="F104" s="1">
        <v>0.1053</v>
      </c>
      <c r="G104" s="1">
        <v>13.371</v>
      </c>
      <c r="H104" s="1">
        <v>0.48499999999999999</v>
      </c>
      <c r="I104" s="1">
        <v>1.4193</v>
      </c>
      <c r="K104" s="2">
        <f t="shared" si="2"/>
        <v>0.42646499999999998</v>
      </c>
      <c r="L104" s="2">
        <f t="shared" si="3"/>
        <v>0.46614460842933919</v>
      </c>
    </row>
    <row r="105" spans="1:12" x14ac:dyDescent="0.25">
      <c r="A105" s="1">
        <v>18</v>
      </c>
      <c r="B105" s="1">
        <v>1</v>
      </c>
      <c r="C105" s="1">
        <v>1</v>
      </c>
      <c r="D105" s="1">
        <v>192</v>
      </c>
      <c r="E105" s="1">
        <v>1.05</v>
      </c>
      <c r="F105" s="1">
        <v>9.8000000000000004E-2</v>
      </c>
      <c r="G105" s="1">
        <v>18.317</v>
      </c>
      <c r="H105" s="1">
        <v>0.38229999999999997</v>
      </c>
      <c r="I105" s="1">
        <v>1.7362</v>
      </c>
      <c r="K105" s="2">
        <f t="shared" si="2"/>
        <v>0.39689999999999998</v>
      </c>
      <c r="L105" s="2">
        <f t="shared" si="3"/>
        <v>0.43382879037108485</v>
      </c>
    </row>
    <row r="106" spans="1:12" x14ac:dyDescent="0.25">
      <c r="A106" s="1">
        <v>18</v>
      </c>
      <c r="B106" s="1">
        <v>2</v>
      </c>
      <c r="C106" s="1">
        <v>2</v>
      </c>
      <c r="D106" s="1">
        <v>102</v>
      </c>
      <c r="E106" s="1">
        <v>1.05</v>
      </c>
      <c r="F106" s="1">
        <v>0.11260000000000001</v>
      </c>
      <c r="G106" s="1">
        <v>10.92</v>
      </c>
      <c r="H106" s="1">
        <v>0.63</v>
      </c>
      <c r="I106" s="1">
        <v>1.351</v>
      </c>
      <c r="K106" s="2">
        <f t="shared" si="2"/>
        <v>0.45602999999999999</v>
      </c>
      <c r="L106" s="2">
        <f t="shared" si="3"/>
        <v>0.49846042648759348</v>
      </c>
    </row>
    <row r="107" spans="1:12" x14ac:dyDescent="0.25">
      <c r="A107" s="1">
        <v>18</v>
      </c>
      <c r="B107" s="1">
        <v>3</v>
      </c>
      <c r="C107" s="1">
        <v>3</v>
      </c>
      <c r="D107" s="1">
        <v>192</v>
      </c>
      <c r="E107" s="1">
        <v>0.75</v>
      </c>
      <c r="F107" s="1">
        <v>8.8800000000000004E-2</v>
      </c>
      <c r="G107" s="1">
        <v>16.603000000000002</v>
      </c>
      <c r="H107" s="1">
        <v>0.42649999999999999</v>
      </c>
      <c r="I107" s="1">
        <v>1.5626</v>
      </c>
      <c r="K107" s="2">
        <f t="shared" si="2"/>
        <v>0.35964000000000002</v>
      </c>
      <c r="L107" s="2">
        <f t="shared" si="3"/>
        <v>0.39310200596890144</v>
      </c>
    </row>
    <row r="108" spans="1:12" x14ac:dyDescent="0.25">
      <c r="A108" s="1">
        <v>18</v>
      </c>
      <c r="B108" s="1">
        <v>4</v>
      </c>
      <c r="C108" s="1">
        <v>4</v>
      </c>
      <c r="D108" s="1">
        <v>132</v>
      </c>
      <c r="E108" s="1">
        <v>0.75</v>
      </c>
      <c r="F108" s="1">
        <v>9.1600000000000001E-2</v>
      </c>
      <c r="G108" s="1">
        <v>11.638</v>
      </c>
      <c r="H108" s="1">
        <v>0.3679</v>
      </c>
      <c r="I108" s="1">
        <v>0.96889999999999998</v>
      </c>
      <c r="K108" s="2">
        <f t="shared" si="2"/>
        <v>0.37097999999999998</v>
      </c>
      <c r="L108" s="2">
        <f t="shared" si="3"/>
        <v>0.40549711426521812</v>
      </c>
    </row>
    <row r="109" spans="1:12" x14ac:dyDescent="0.25">
      <c r="A109" s="1">
        <v>18</v>
      </c>
      <c r="B109" s="1">
        <v>5</v>
      </c>
      <c r="C109" s="1">
        <v>5</v>
      </c>
      <c r="D109" s="1">
        <v>252</v>
      </c>
      <c r="E109" s="1">
        <v>0.95</v>
      </c>
      <c r="F109" s="1">
        <v>9.8799999999999999E-2</v>
      </c>
      <c r="G109" s="1">
        <v>24.396999999999998</v>
      </c>
      <c r="H109" s="1">
        <v>0.34949999999999998</v>
      </c>
      <c r="I109" s="1">
        <v>1.9013</v>
      </c>
      <c r="K109" s="2">
        <f t="shared" si="2"/>
        <v>0.40014</v>
      </c>
      <c r="L109" s="2">
        <f t="shared" si="3"/>
        <v>0.43737024988431822</v>
      </c>
    </row>
    <row r="110" spans="1:12" x14ac:dyDescent="0.25">
      <c r="A110" s="1">
        <v>18</v>
      </c>
      <c r="B110" s="1">
        <v>6</v>
      </c>
      <c r="C110" s="1">
        <v>6</v>
      </c>
      <c r="D110" s="1">
        <v>192</v>
      </c>
      <c r="E110" s="1">
        <v>0.95</v>
      </c>
      <c r="F110" s="1">
        <v>8.1000000000000003E-2</v>
      </c>
      <c r="G110" s="1">
        <v>15.154999999999999</v>
      </c>
      <c r="H110" s="1">
        <v>0.4204</v>
      </c>
      <c r="I110" s="1">
        <v>1.7847999999999999</v>
      </c>
      <c r="K110" s="2">
        <f t="shared" si="2"/>
        <v>0.32805000000000001</v>
      </c>
      <c r="L110" s="2">
        <f t="shared" si="3"/>
        <v>0.35857277571487628</v>
      </c>
    </row>
    <row r="111" spans="1:12" x14ac:dyDescent="0.25">
      <c r="A111" s="1">
        <v>19</v>
      </c>
      <c r="B111" s="1">
        <v>1</v>
      </c>
      <c r="C111" s="1">
        <v>1</v>
      </c>
      <c r="D111" s="1">
        <v>132</v>
      </c>
      <c r="E111" s="1">
        <v>0.75</v>
      </c>
      <c r="F111" s="1">
        <v>8.4599999999999995E-2</v>
      </c>
      <c r="G111" s="1">
        <v>10.741</v>
      </c>
      <c r="H111" s="1">
        <v>0.33779999999999999</v>
      </c>
      <c r="I111" s="1">
        <v>0.88800000000000001</v>
      </c>
      <c r="K111" s="2">
        <f t="shared" si="2"/>
        <v>0.34262999999999999</v>
      </c>
      <c r="L111" s="2">
        <f t="shared" si="3"/>
        <v>0.37450934352442633</v>
      </c>
    </row>
    <row r="112" spans="1:12" x14ac:dyDescent="0.25">
      <c r="A112" s="1">
        <v>19</v>
      </c>
      <c r="B112" s="1">
        <v>2</v>
      </c>
      <c r="C112" s="1">
        <v>2</v>
      </c>
      <c r="D112" s="1">
        <v>102</v>
      </c>
      <c r="E112" s="1">
        <v>0.95</v>
      </c>
      <c r="F112" s="1">
        <v>0.1119</v>
      </c>
      <c r="G112" s="1">
        <v>10.851000000000001</v>
      </c>
      <c r="H112" s="1">
        <v>0.4879</v>
      </c>
      <c r="I112" s="1">
        <v>1.1096999999999999</v>
      </c>
      <c r="K112" s="2">
        <f t="shared" si="2"/>
        <v>0.45319499999999996</v>
      </c>
      <c r="L112" s="2">
        <f t="shared" si="3"/>
        <v>0.49536164941351424</v>
      </c>
    </row>
    <row r="113" spans="1:12" x14ac:dyDescent="0.25">
      <c r="A113" s="1">
        <v>19</v>
      </c>
      <c r="B113" s="1">
        <v>3</v>
      </c>
      <c r="C113" s="1">
        <v>3</v>
      </c>
      <c r="D113" s="1">
        <v>72</v>
      </c>
      <c r="E113" s="1">
        <v>0.55000000000000004</v>
      </c>
      <c r="F113" s="1">
        <v>7.4200000000000002E-2</v>
      </c>
      <c r="G113" s="1">
        <v>4.9710000000000001</v>
      </c>
      <c r="H113" s="1">
        <v>0.2666</v>
      </c>
      <c r="I113" s="1">
        <v>0.3881</v>
      </c>
      <c r="K113" s="2">
        <f t="shared" si="2"/>
        <v>0.30051</v>
      </c>
      <c r="L113" s="2">
        <f t="shared" si="3"/>
        <v>0.32847036985239286</v>
      </c>
    </row>
    <row r="114" spans="1:12" x14ac:dyDescent="0.25">
      <c r="A114" s="1">
        <v>19</v>
      </c>
      <c r="B114" s="1">
        <v>4</v>
      </c>
      <c r="C114" s="1">
        <v>4</v>
      </c>
      <c r="D114" s="1">
        <v>72</v>
      </c>
      <c r="E114" s="1">
        <v>0.85</v>
      </c>
      <c r="F114" s="1">
        <v>8.6699999999999999E-2</v>
      </c>
      <c r="G114" s="1">
        <v>5.8090000000000002</v>
      </c>
      <c r="H114" s="1">
        <v>0.38159999999999999</v>
      </c>
      <c r="I114" s="1">
        <v>0.47249999999999998</v>
      </c>
      <c r="K114" s="2">
        <f t="shared" si="2"/>
        <v>0.35113499999999997</v>
      </c>
      <c r="L114" s="2">
        <f t="shared" si="3"/>
        <v>0.38380567474666388</v>
      </c>
    </row>
    <row r="115" spans="1:12" x14ac:dyDescent="0.25">
      <c r="A115" s="1">
        <v>19</v>
      </c>
      <c r="B115" s="1">
        <v>5</v>
      </c>
      <c r="C115" s="1">
        <v>5</v>
      </c>
      <c r="D115" s="1">
        <v>57</v>
      </c>
      <c r="E115" s="1">
        <v>1.05</v>
      </c>
      <c r="F115" s="1">
        <v>0.1071</v>
      </c>
      <c r="G115" s="1">
        <v>5.5679999999999996</v>
      </c>
      <c r="H115" s="1">
        <v>0.59940000000000004</v>
      </c>
      <c r="I115" s="1">
        <v>0.63439999999999996</v>
      </c>
      <c r="K115" s="2">
        <f t="shared" si="2"/>
        <v>0.433755</v>
      </c>
      <c r="L115" s="2">
        <f t="shared" si="3"/>
        <v>0.47411289233411424</v>
      </c>
    </row>
    <row r="116" spans="1:12" x14ac:dyDescent="0.25">
      <c r="A116" s="1">
        <v>19</v>
      </c>
      <c r="B116" s="1">
        <v>6</v>
      </c>
      <c r="C116" s="1">
        <v>6</v>
      </c>
      <c r="D116" s="1">
        <v>192</v>
      </c>
      <c r="E116" s="1">
        <v>0.95</v>
      </c>
      <c r="F116" s="1">
        <v>9.9500000000000005E-2</v>
      </c>
      <c r="G116" s="1">
        <v>18.603999999999999</v>
      </c>
      <c r="H116" s="1">
        <v>0.54490000000000005</v>
      </c>
      <c r="I116" s="1">
        <v>2.4091999999999998</v>
      </c>
      <c r="K116" s="2">
        <f t="shared" si="2"/>
        <v>0.40297500000000003</v>
      </c>
      <c r="L116" s="2">
        <f t="shared" si="3"/>
        <v>0.44046902695839746</v>
      </c>
    </row>
    <row r="117" spans="1:12" x14ac:dyDescent="0.25">
      <c r="A117" s="1">
        <v>20</v>
      </c>
      <c r="B117" s="1">
        <v>1</v>
      </c>
      <c r="C117" s="1">
        <v>1</v>
      </c>
      <c r="D117" s="1">
        <v>192</v>
      </c>
      <c r="E117" s="1">
        <v>0.65</v>
      </c>
      <c r="F117" s="1">
        <v>0.10340000000000001</v>
      </c>
      <c r="G117" s="1">
        <v>19.337</v>
      </c>
      <c r="H117" s="1">
        <v>0.2238</v>
      </c>
      <c r="I117" s="1">
        <v>0.90239999999999998</v>
      </c>
      <c r="K117" s="2">
        <f t="shared" si="2"/>
        <v>0.41877000000000003</v>
      </c>
      <c r="L117" s="2">
        <f t="shared" si="3"/>
        <v>0.45773364208541001</v>
      </c>
    </row>
    <row r="118" spans="1:12" x14ac:dyDescent="0.25">
      <c r="A118" s="1">
        <v>20</v>
      </c>
      <c r="B118" s="1">
        <v>2</v>
      </c>
      <c r="C118" s="1">
        <v>2</v>
      </c>
      <c r="D118" s="1">
        <v>102</v>
      </c>
      <c r="E118" s="1">
        <v>1.05</v>
      </c>
      <c r="F118" s="1">
        <v>0.1207</v>
      </c>
      <c r="G118" s="1">
        <v>11.71</v>
      </c>
      <c r="H118" s="1">
        <v>0.40600000000000003</v>
      </c>
      <c r="I118" s="1">
        <v>0.87190000000000001</v>
      </c>
      <c r="K118" s="2">
        <f t="shared" si="2"/>
        <v>0.48883499999999996</v>
      </c>
      <c r="L118" s="2">
        <f t="shared" si="3"/>
        <v>0.53431770405908108</v>
      </c>
    </row>
    <row r="119" spans="1:12" x14ac:dyDescent="0.25">
      <c r="A119" s="1">
        <v>20</v>
      </c>
      <c r="B119" s="1">
        <v>3</v>
      </c>
      <c r="C119" s="1">
        <v>3</v>
      </c>
      <c r="D119" s="1">
        <v>252</v>
      </c>
      <c r="E119" s="1">
        <v>0.85</v>
      </c>
      <c r="F119" s="1">
        <v>0.11169999999999999</v>
      </c>
      <c r="G119" s="1">
        <v>27.585000000000001</v>
      </c>
      <c r="H119" s="1">
        <v>0.38019999999999998</v>
      </c>
      <c r="I119" s="1">
        <v>2.0684</v>
      </c>
      <c r="K119" s="2">
        <f t="shared" si="2"/>
        <v>0.45238499999999998</v>
      </c>
      <c r="L119" s="2">
        <f t="shared" si="3"/>
        <v>0.49447628453520592</v>
      </c>
    </row>
    <row r="120" spans="1:12" x14ac:dyDescent="0.25">
      <c r="A120" s="1">
        <v>20</v>
      </c>
      <c r="B120" s="1">
        <v>4</v>
      </c>
      <c r="C120" s="1">
        <v>4</v>
      </c>
      <c r="D120" s="1">
        <v>132</v>
      </c>
      <c r="E120" s="1">
        <v>0.75</v>
      </c>
      <c r="F120" s="1">
        <v>0.10879999999999999</v>
      </c>
      <c r="G120" s="1">
        <v>13.821999999999999</v>
      </c>
      <c r="H120" s="1">
        <v>0.36330000000000001</v>
      </c>
      <c r="I120" s="1">
        <v>1.1062000000000001</v>
      </c>
      <c r="K120" s="2">
        <f t="shared" si="2"/>
        <v>0.44063999999999998</v>
      </c>
      <c r="L120" s="2">
        <f t="shared" si="3"/>
        <v>0.48163849379973506</v>
      </c>
    </row>
    <row r="121" spans="1:12" x14ac:dyDescent="0.25">
      <c r="A121" s="1">
        <v>20</v>
      </c>
      <c r="B121" s="1">
        <v>5</v>
      </c>
      <c r="C121" s="1">
        <v>5</v>
      </c>
      <c r="D121" s="1">
        <v>132</v>
      </c>
      <c r="E121" s="1">
        <v>0.55000000000000004</v>
      </c>
      <c r="F121" s="1">
        <v>0.1166</v>
      </c>
      <c r="G121" s="1">
        <v>14.811</v>
      </c>
      <c r="H121" s="1">
        <v>0.42209999999999998</v>
      </c>
      <c r="I121" s="1">
        <v>1.1142000000000001</v>
      </c>
      <c r="K121" s="2">
        <f t="shared" si="2"/>
        <v>0.47222999999999998</v>
      </c>
      <c r="L121" s="2">
        <f t="shared" si="3"/>
        <v>0.51616772405376021</v>
      </c>
    </row>
    <row r="122" spans="1:12" x14ac:dyDescent="0.25">
      <c r="A122" s="1">
        <v>20</v>
      </c>
      <c r="B122" s="1">
        <v>6</v>
      </c>
      <c r="C122" s="1">
        <v>6</v>
      </c>
      <c r="D122" s="1">
        <v>57</v>
      </c>
      <c r="E122" s="1">
        <v>0.65</v>
      </c>
      <c r="F122" s="1">
        <v>0.1158</v>
      </c>
      <c r="G122" s="1">
        <v>6.0220000000000002</v>
      </c>
      <c r="H122" s="1">
        <v>0.41049999999999998</v>
      </c>
      <c r="I122" s="1">
        <v>0.45169999999999999</v>
      </c>
      <c r="K122" s="2">
        <f t="shared" si="2"/>
        <v>0.46898999999999996</v>
      </c>
      <c r="L122" s="2">
        <f t="shared" si="3"/>
        <v>0.51262626454052684</v>
      </c>
    </row>
    <row r="123" spans="1:12" x14ac:dyDescent="0.25">
      <c r="A123" s="1">
        <v>21</v>
      </c>
      <c r="B123" s="1">
        <v>1</v>
      </c>
      <c r="C123" s="1">
        <v>1</v>
      </c>
      <c r="D123" s="1">
        <v>132</v>
      </c>
      <c r="E123" s="1">
        <v>0.75</v>
      </c>
      <c r="F123" s="1">
        <v>9.74E-2</v>
      </c>
      <c r="G123" s="1">
        <v>12.369</v>
      </c>
      <c r="H123" s="1">
        <v>0.47070000000000001</v>
      </c>
      <c r="I123" s="1">
        <v>1.1898</v>
      </c>
      <c r="K123" s="2">
        <f t="shared" si="2"/>
        <v>0.39446999999999999</v>
      </c>
      <c r="L123" s="2">
        <f t="shared" si="3"/>
        <v>0.43117269573615991</v>
      </c>
    </row>
    <row r="124" spans="1:12" x14ac:dyDescent="0.25">
      <c r="A124" s="1">
        <v>21</v>
      </c>
      <c r="B124" s="1">
        <v>2</v>
      </c>
      <c r="C124" s="1">
        <v>2</v>
      </c>
      <c r="D124" s="1">
        <v>102</v>
      </c>
      <c r="E124" s="1">
        <v>0.75</v>
      </c>
      <c r="F124" s="1">
        <v>0.1019</v>
      </c>
      <c r="G124" s="1">
        <v>9.8819999999999997</v>
      </c>
      <c r="H124" s="1">
        <v>0.39550000000000002</v>
      </c>
      <c r="I124" s="1">
        <v>0.88839999999999997</v>
      </c>
      <c r="K124" s="2">
        <f t="shared" si="2"/>
        <v>0.41269499999999998</v>
      </c>
      <c r="L124" s="2">
        <f t="shared" si="3"/>
        <v>0.45109340549809746</v>
      </c>
    </row>
    <row r="125" spans="1:12" x14ac:dyDescent="0.25">
      <c r="A125" s="1">
        <v>21</v>
      </c>
      <c r="B125" s="1">
        <v>3</v>
      </c>
      <c r="C125" s="1">
        <v>3</v>
      </c>
      <c r="D125" s="1">
        <v>192</v>
      </c>
      <c r="E125" s="1">
        <v>1.05</v>
      </c>
      <c r="F125" s="1">
        <v>0.1043</v>
      </c>
      <c r="G125" s="1">
        <v>19.498999999999999</v>
      </c>
      <c r="H125" s="1">
        <v>0.45029999999999998</v>
      </c>
      <c r="I125" s="1">
        <v>1.8512</v>
      </c>
      <c r="K125" s="2">
        <f t="shared" si="2"/>
        <v>0.42241499999999998</v>
      </c>
      <c r="L125" s="2">
        <f t="shared" si="3"/>
        <v>0.46171778403779751</v>
      </c>
    </row>
    <row r="126" spans="1:12" x14ac:dyDescent="0.25">
      <c r="A126" s="1">
        <v>21</v>
      </c>
      <c r="B126" s="1">
        <v>4</v>
      </c>
      <c r="C126" s="1">
        <v>4</v>
      </c>
      <c r="D126" s="1">
        <v>252</v>
      </c>
      <c r="E126" s="1">
        <v>0.55000000000000004</v>
      </c>
      <c r="F126" s="1">
        <v>0.1108</v>
      </c>
      <c r="G126" s="1">
        <v>27.366</v>
      </c>
      <c r="H126" s="1">
        <v>0.30049999999999999</v>
      </c>
      <c r="I126" s="1">
        <v>1.6671</v>
      </c>
      <c r="K126" s="2">
        <f t="shared" si="2"/>
        <v>0.44873999999999997</v>
      </c>
      <c r="L126" s="2">
        <f t="shared" si="3"/>
        <v>0.49049214258281842</v>
      </c>
    </row>
    <row r="127" spans="1:12" x14ac:dyDescent="0.25">
      <c r="A127" s="1">
        <v>21</v>
      </c>
      <c r="B127" s="1">
        <v>5</v>
      </c>
      <c r="C127" s="1">
        <v>5</v>
      </c>
      <c r="D127" s="1">
        <v>132</v>
      </c>
      <c r="E127" s="1">
        <v>0.95</v>
      </c>
      <c r="F127" s="1">
        <v>0.1215</v>
      </c>
      <c r="G127" s="1">
        <v>15.425000000000001</v>
      </c>
      <c r="H127" s="1">
        <v>0.55020000000000002</v>
      </c>
      <c r="I127" s="1">
        <v>1.4710000000000001</v>
      </c>
      <c r="K127" s="2">
        <f t="shared" si="2"/>
        <v>0.49207499999999998</v>
      </c>
      <c r="L127" s="2">
        <f t="shared" si="3"/>
        <v>0.53785916357231445</v>
      </c>
    </row>
    <row r="128" spans="1:12" x14ac:dyDescent="0.25">
      <c r="A128" s="1">
        <v>21</v>
      </c>
      <c r="B128" s="1">
        <v>6</v>
      </c>
      <c r="C128" s="1">
        <v>6</v>
      </c>
      <c r="D128" s="1">
        <v>57</v>
      </c>
      <c r="E128" s="1">
        <v>0.55000000000000004</v>
      </c>
      <c r="F128" s="1">
        <v>7.1599999999999997E-2</v>
      </c>
      <c r="G128" s="1">
        <v>3.7210000000000001</v>
      </c>
      <c r="H128" s="1">
        <v>0.30399999999999999</v>
      </c>
      <c r="I128" s="1">
        <v>0.37159999999999999</v>
      </c>
      <c r="K128" s="2">
        <f t="shared" si="2"/>
        <v>0.28997999999999996</v>
      </c>
      <c r="L128" s="2">
        <f t="shared" si="3"/>
        <v>0.31696062643438444</v>
      </c>
    </row>
    <row r="129" spans="1:12" x14ac:dyDescent="0.25">
      <c r="A129" s="1">
        <v>22</v>
      </c>
      <c r="B129" s="1">
        <v>1</v>
      </c>
      <c r="C129" s="1">
        <v>1</v>
      </c>
      <c r="D129" s="1">
        <v>192</v>
      </c>
      <c r="E129" s="1">
        <v>0.85</v>
      </c>
      <c r="F129" s="1">
        <v>0.10730000000000001</v>
      </c>
      <c r="G129" s="1">
        <v>20.071999999999999</v>
      </c>
      <c r="H129" s="1">
        <v>0.77869999999999995</v>
      </c>
      <c r="I129" s="1">
        <v>3.3511000000000002</v>
      </c>
      <c r="K129" s="2">
        <f t="shared" si="2"/>
        <v>0.43456500000000003</v>
      </c>
      <c r="L129" s="2">
        <f t="shared" si="3"/>
        <v>0.47499825721242261</v>
      </c>
    </row>
    <row r="130" spans="1:12" x14ac:dyDescent="0.25">
      <c r="A130" s="1">
        <v>22</v>
      </c>
      <c r="B130" s="1">
        <v>2</v>
      </c>
      <c r="C130" s="1">
        <v>2</v>
      </c>
      <c r="D130" s="1">
        <v>57</v>
      </c>
      <c r="E130" s="1">
        <v>0.85</v>
      </c>
      <c r="F130" s="1">
        <v>0.1157</v>
      </c>
      <c r="G130" s="1">
        <v>6.0140000000000002</v>
      </c>
      <c r="H130" s="1">
        <v>0.69550000000000001</v>
      </c>
      <c r="I130" s="1">
        <v>0.7843</v>
      </c>
      <c r="K130" s="2">
        <f t="shared" si="2"/>
        <v>0.46858499999999997</v>
      </c>
      <c r="L130" s="2">
        <f t="shared" si="3"/>
        <v>0.5121835821013726</v>
      </c>
    </row>
    <row r="131" spans="1:12" x14ac:dyDescent="0.25">
      <c r="A131" s="1">
        <v>22</v>
      </c>
      <c r="B131" s="1">
        <v>3</v>
      </c>
      <c r="C131" s="1">
        <v>3</v>
      </c>
      <c r="D131" s="1">
        <v>252</v>
      </c>
      <c r="E131" s="1">
        <v>0.75</v>
      </c>
      <c r="F131" s="1">
        <v>9.5899999999999999E-2</v>
      </c>
      <c r="G131" s="1">
        <v>23.684999999999999</v>
      </c>
      <c r="H131" s="1">
        <v>0.35049999999999998</v>
      </c>
      <c r="I131" s="1">
        <v>2.0495000000000001</v>
      </c>
      <c r="K131" s="2">
        <f t="shared" ref="K131:K146" si="4">F131*4.05</f>
        <v>0.38839499999999999</v>
      </c>
      <c r="L131" s="2">
        <f t="shared" ref="L131:L146" si="5">K131/SQRT(0.837)</f>
        <v>0.42453245914884735</v>
      </c>
    </row>
    <row r="132" spans="1:12" x14ac:dyDescent="0.25">
      <c r="A132" s="1">
        <v>22</v>
      </c>
      <c r="B132" s="1">
        <v>4</v>
      </c>
      <c r="C132" s="1">
        <v>4</v>
      </c>
      <c r="D132" s="1">
        <v>132</v>
      </c>
      <c r="E132" s="1">
        <v>0.75</v>
      </c>
      <c r="F132" s="1">
        <v>9.8599999999999993E-2</v>
      </c>
      <c r="G132" s="1">
        <v>12.522</v>
      </c>
      <c r="H132" s="1">
        <v>0.35570000000000002</v>
      </c>
      <c r="I132" s="1">
        <v>0.9627</v>
      </c>
      <c r="K132" s="2">
        <f t="shared" si="4"/>
        <v>0.39932999999999996</v>
      </c>
      <c r="L132" s="2">
        <f t="shared" si="5"/>
        <v>0.43648488500600985</v>
      </c>
    </row>
    <row r="133" spans="1:12" x14ac:dyDescent="0.25">
      <c r="A133" s="1">
        <v>22</v>
      </c>
      <c r="B133" s="1">
        <v>5</v>
      </c>
      <c r="C133" s="1">
        <v>5</v>
      </c>
      <c r="D133" s="1">
        <v>132</v>
      </c>
      <c r="E133" s="1">
        <v>0.65</v>
      </c>
      <c r="F133" s="1">
        <v>9.8299999999999998E-2</v>
      </c>
      <c r="G133" s="1">
        <v>12.487</v>
      </c>
      <c r="H133" s="1">
        <v>0.26400000000000001</v>
      </c>
      <c r="I133" s="1">
        <v>0.70709999999999995</v>
      </c>
      <c r="K133" s="2">
        <f t="shared" si="4"/>
        <v>0.398115</v>
      </c>
      <c r="L133" s="2">
        <f t="shared" si="5"/>
        <v>0.4351568376885474</v>
      </c>
    </row>
    <row r="134" spans="1:12" x14ac:dyDescent="0.25">
      <c r="A134" s="1">
        <v>22</v>
      </c>
      <c r="B134" s="1">
        <v>6</v>
      </c>
      <c r="C134" s="1">
        <v>6</v>
      </c>
      <c r="D134" s="1">
        <v>72</v>
      </c>
      <c r="E134" s="1">
        <v>0.75</v>
      </c>
      <c r="F134" s="1">
        <v>8.5099999999999995E-2</v>
      </c>
      <c r="G134" s="1">
        <v>5.7039999999999997</v>
      </c>
      <c r="H134" s="1">
        <v>0.4622</v>
      </c>
      <c r="I134" s="1">
        <v>0.63060000000000005</v>
      </c>
      <c r="K134" s="2">
        <f t="shared" si="4"/>
        <v>0.34465499999999999</v>
      </c>
      <c r="L134" s="2">
        <f t="shared" si="5"/>
        <v>0.3767227557201972</v>
      </c>
    </row>
    <row r="135" spans="1:12" x14ac:dyDescent="0.25">
      <c r="A135" s="1">
        <v>23</v>
      </c>
      <c r="B135" s="1">
        <v>1</v>
      </c>
      <c r="C135" s="1">
        <v>1</v>
      </c>
      <c r="D135" s="1">
        <v>132</v>
      </c>
      <c r="E135" s="1">
        <v>0.75</v>
      </c>
      <c r="F135" s="1">
        <v>7.6499999999999999E-2</v>
      </c>
      <c r="G135" s="1">
        <v>9.7189999999999994</v>
      </c>
      <c r="H135" s="1">
        <v>0.2283</v>
      </c>
      <c r="I135" s="1">
        <v>0.6976</v>
      </c>
      <c r="K135" s="2">
        <f t="shared" si="4"/>
        <v>0.30982499999999996</v>
      </c>
      <c r="L135" s="2">
        <f t="shared" si="5"/>
        <v>0.33865206595293867</v>
      </c>
    </row>
    <row r="136" spans="1:12" x14ac:dyDescent="0.25">
      <c r="A136" s="1">
        <v>23</v>
      </c>
      <c r="B136" s="1">
        <v>2</v>
      </c>
      <c r="C136" s="1">
        <v>2</v>
      </c>
      <c r="D136" s="1">
        <v>192</v>
      </c>
      <c r="E136" s="1">
        <v>0.55000000000000004</v>
      </c>
      <c r="F136" s="1">
        <v>8.4099999999999994E-2</v>
      </c>
      <c r="G136" s="1">
        <v>15.728</v>
      </c>
      <c r="H136" s="1">
        <v>0.28920000000000001</v>
      </c>
      <c r="I136" s="1">
        <v>1.1241000000000001</v>
      </c>
      <c r="K136" s="2">
        <f t="shared" si="4"/>
        <v>0.34060499999999994</v>
      </c>
      <c r="L136" s="2">
        <f t="shared" si="5"/>
        <v>0.37229593132865546</v>
      </c>
    </row>
    <row r="137" spans="1:12" x14ac:dyDescent="0.25">
      <c r="A137" s="1">
        <v>23</v>
      </c>
      <c r="B137" s="1">
        <v>3</v>
      </c>
      <c r="C137" s="1">
        <v>3</v>
      </c>
      <c r="D137" s="1">
        <v>132</v>
      </c>
      <c r="E137" s="1">
        <v>1.05</v>
      </c>
      <c r="F137" s="1">
        <v>9.0200000000000002E-2</v>
      </c>
      <c r="G137" s="1">
        <v>11.455</v>
      </c>
      <c r="H137" s="1">
        <v>0.84019999999999995</v>
      </c>
      <c r="I137" s="1">
        <v>2.3759999999999999</v>
      </c>
      <c r="K137" s="2">
        <f t="shared" si="4"/>
        <v>0.36530999999999997</v>
      </c>
      <c r="L137" s="2">
        <f t="shared" si="5"/>
        <v>0.39929956011705975</v>
      </c>
    </row>
    <row r="138" spans="1:12" x14ac:dyDescent="0.25">
      <c r="A138" s="1">
        <v>23</v>
      </c>
      <c r="B138" s="1">
        <v>4</v>
      </c>
      <c r="C138" s="1">
        <v>4</v>
      </c>
      <c r="D138" s="1">
        <v>102</v>
      </c>
      <c r="E138" s="1">
        <v>0.65</v>
      </c>
      <c r="F138" s="1">
        <v>7.6799999999999993E-2</v>
      </c>
      <c r="G138" s="1">
        <v>7.4459999999999997</v>
      </c>
      <c r="H138" s="1">
        <v>0.35830000000000001</v>
      </c>
      <c r="I138" s="1">
        <v>0.755</v>
      </c>
      <c r="K138" s="2">
        <f t="shared" si="4"/>
        <v>0.31103999999999998</v>
      </c>
      <c r="L138" s="2">
        <f t="shared" si="5"/>
        <v>0.33998011327040123</v>
      </c>
    </row>
    <row r="139" spans="1:12" x14ac:dyDescent="0.25">
      <c r="A139" s="1">
        <v>23</v>
      </c>
      <c r="B139" s="1">
        <v>5</v>
      </c>
      <c r="C139" s="1">
        <v>5</v>
      </c>
      <c r="D139" s="1">
        <v>72</v>
      </c>
      <c r="E139" s="1">
        <v>0.65</v>
      </c>
      <c r="F139" s="1">
        <v>7.7299999999999994E-2</v>
      </c>
      <c r="G139" s="1">
        <v>5.1790000000000003</v>
      </c>
      <c r="H139" s="1">
        <v>0.32290000000000002</v>
      </c>
      <c r="I139" s="1">
        <v>0.48609999999999998</v>
      </c>
      <c r="K139" s="2">
        <f t="shared" si="4"/>
        <v>0.31306499999999998</v>
      </c>
      <c r="L139" s="2">
        <f t="shared" si="5"/>
        <v>0.34219352546617204</v>
      </c>
    </row>
    <row r="140" spans="1:12" x14ac:dyDescent="0.25">
      <c r="A140" s="1">
        <v>23</v>
      </c>
      <c r="B140" s="1">
        <v>6</v>
      </c>
      <c r="C140" s="1">
        <v>6</v>
      </c>
      <c r="D140" s="1">
        <v>72</v>
      </c>
      <c r="E140" s="1">
        <v>1.05</v>
      </c>
      <c r="F140" s="1">
        <v>9.01E-2</v>
      </c>
      <c r="G140" s="1">
        <v>6.0369999999999999</v>
      </c>
      <c r="H140" s="1">
        <v>0.91190000000000004</v>
      </c>
      <c r="I140" s="1">
        <v>1.3037000000000001</v>
      </c>
      <c r="K140" s="2">
        <f t="shared" si="4"/>
        <v>0.36490499999999998</v>
      </c>
      <c r="L140" s="2">
        <f t="shared" si="5"/>
        <v>0.39885687767790556</v>
      </c>
    </row>
    <row r="141" spans="1:12" x14ac:dyDescent="0.25">
      <c r="A141" s="1">
        <v>24</v>
      </c>
      <c r="B141" s="1">
        <v>1</v>
      </c>
      <c r="C141" s="1">
        <v>1</v>
      </c>
      <c r="D141" s="1">
        <v>102</v>
      </c>
      <c r="E141" s="1">
        <v>0.55000000000000004</v>
      </c>
      <c r="F141" s="1">
        <v>8.0799999999999997E-2</v>
      </c>
      <c r="G141" s="1">
        <v>7.8330000000000002</v>
      </c>
      <c r="H141" s="1">
        <v>0.2757</v>
      </c>
      <c r="I141" s="1">
        <v>0.62470000000000003</v>
      </c>
      <c r="K141" s="2">
        <f t="shared" si="4"/>
        <v>0.32723999999999998</v>
      </c>
      <c r="L141" s="2">
        <f t="shared" si="5"/>
        <v>0.35768741083656791</v>
      </c>
    </row>
    <row r="142" spans="1:12" x14ac:dyDescent="0.25">
      <c r="A142" s="1">
        <v>24</v>
      </c>
      <c r="B142" s="1">
        <v>2</v>
      </c>
      <c r="C142" s="1">
        <v>2</v>
      </c>
      <c r="D142" s="1">
        <v>57</v>
      </c>
      <c r="E142" s="1">
        <v>0.95</v>
      </c>
      <c r="F142" s="1">
        <v>0.1152</v>
      </c>
      <c r="G142" s="1">
        <v>5.9909999999999997</v>
      </c>
      <c r="H142" s="1">
        <v>0.72260000000000002</v>
      </c>
      <c r="I142" s="1">
        <v>0.76119999999999999</v>
      </c>
      <c r="K142" s="2">
        <f t="shared" si="4"/>
        <v>0.46655999999999997</v>
      </c>
      <c r="L142" s="2">
        <f t="shared" si="5"/>
        <v>0.50997016990560184</v>
      </c>
    </row>
    <row r="143" spans="1:12" x14ac:dyDescent="0.25">
      <c r="A143" s="1">
        <v>24</v>
      </c>
      <c r="B143" s="1">
        <v>3</v>
      </c>
      <c r="C143" s="1">
        <v>3</v>
      </c>
      <c r="D143" s="1">
        <v>192</v>
      </c>
      <c r="E143" s="1">
        <v>0.75</v>
      </c>
      <c r="F143" s="1">
        <v>8.6499999999999994E-2</v>
      </c>
      <c r="G143" s="1">
        <v>16.177</v>
      </c>
      <c r="H143" s="1">
        <v>0.35649999999999998</v>
      </c>
      <c r="I143" s="1">
        <v>1.4414</v>
      </c>
      <c r="K143" s="2">
        <f t="shared" si="4"/>
        <v>0.35032499999999994</v>
      </c>
      <c r="L143" s="2">
        <f t="shared" si="5"/>
        <v>0.38292030986835551</v>
      </c>
    </row>
    <row r="144" spans="1:12" x14ac:dyDescent="0.25">
      <c r="A144" s="1">
        <v>24</v>
      </c>
      <c r="B144" s="1">
        <v>4</v>
      </c>
      <c r="C144" s="1">
        <v>4</v>
      </c>
      <c r="D144" s="1">
        <v>132</v>
      </c>
      <c r="E144" s="1">
        <v>0.75</v>
      </c>
      <c r="F144" s="1">
        <v>9.3200000000000005E-2</v>
      </c>
      <c r="G144" s="1">
        <v>11.84</v>
      </c>
      <c r="H144" s="1">
        <v>0.50280000000000002</v>
      </c>
      <c r="I144" s="1">
        <v>1.1921999999999999</v>
      </c>
      <c r="K144" s="2">
        <f t="shared" si="4"/>
        <v>0.37746000000000002</v>
      </c>
      <c r="L144" s="2">
        <f t="shared" si="5"/>
        <v>0.41258003329168486</v>
      </c>
    </row>
    <row r="145" spans="1:12" x14ac:dyDescent="0.25">
      <c r="A145" s="1">
        <v>24</v>
      </c>
      <c r="B145" s="1">
        <v>5</v>
      </c>
      <c r="C145" s="1">
        <v>5</v>
      </c>
      <c r="D145" s="1">
        <v>72</v>
      </c>
      <c r="E145" s="1">
        <v>0.95</v>
      </c>
      <c r="F145" s="1">
        <v>9.74E-2</v>
      </c>
      <c r="G145" s="1">
        <v>6.5259999999999998</v>
      </c>
      <c r="H145" s="1">
        <v>0.52400000000000002</v>
      </c>
      <c r="I145" s="1">
        <v>0.78059999999999996</v>
      </c>
      <c r="K145" s="2">
        <f t="shared" si="4"/>
        <v>0.39446999999999999</v>
      </c>
      <c r="L145" s="2">
        <f t="shared" si="5"/>
        <v>0.43117269573615991</v>
      </c>
    </row>
    <row r="146" spans="1:12" x14ac:dyDescent="0.25">
      <c r="A146" s="1">
        <v>24</v>
      </c>
      <c r="B146" s="1">
        <v>6</v>
      </c>
      <c r="C146" s="1">
        <v>6</v>
      </c>
      <c r="D146" s="1">
        <v>252</v>
      </c>
      <c r="E146" s="1">
        <v>1.05</v>
      </c>
      <c r="F146" s="1">
        <v>8.9099999999999999E-2</v>
      </c>
      <c r="G146" s="1">
        <v>22.010999999999999</v>
      </c>
      <c r="H146" s="1">
        <v>1.3087</v>
      </c>
      <c r="I146" s="1">
        <v>7.3952999999999998</v>
      </c>
      <c r="K146" s="2">
        <f t="shared" si="4"/>
        <v>0.36085499999999998</v>
      </c>
      <c r="L146" s="2">
        <f t="shared" si="5"/>
        <v>0.39443005328636388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Todd, Nicholas</dc:creator>
  <cp:lastModifiedBy>Todd, Nicholas</cp:lastModifiedBy>
  <dcterms:created xsi:type="dcterms:W3CDTF">2026-07-07T15:28:36Z</dcterms:created>
  <dcterms:modified xsi:type="dcterms:W3CDTF">2026-07-14T18:29:28Z</dcterms:modified>
</cp:coreProperties>
</file>